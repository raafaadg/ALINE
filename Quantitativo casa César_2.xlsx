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esktop\ALINE\"/>
    </mc:Choice>
  </mc:AlternateContent>
  <bookViews>
    <workbookView xWindow="0" yWindow="0" windowWidth="28800" windowHeight="13275"/>
  </bookViews>
  <sheets>
    <sheet name="Resumo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7" l="1"/>
  <c r="F58" i="7"/>
  <c r="F73" i="7"/>
  <c r="F14" i="7"/>
  <c r="F5" i="7"/>
  <c r="F6" i="7"/>
  <c r="F7" i="7"/>
  <c r="F8" i="7"/>
  <c r="F9" i="7"/>
  <c r="F10" i="7"/>
  <c r="F11" i="7"/>
  <c r="F12" i="7"/>
  <c r="F13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9" i="7"/>
  <c r="F60" i="7"/>
  <c r="F61" i="7"/>
  <c r="F62" i="7"/>
  <c r="F63" i="7"/>
  <c r="F64" i="7"/>
  <c r="F65" i="7"/>
  <c r="F66" i="7"/>
  <c r="F67" i="7"/>
  <c r="F68" i="7"/>
  <c r="F4" i="7"/>
  <c r="A59" i="7"/>
  <c r="A35" i="7"/>
  <c r="A15" i="7"/>
</calcChain>
</file>

<file path=xl/sharedStrings.xml><?xml version="1.0" encoding="utf-8"?>
<sst xmlns="http://schemas.openxmlformats.org/spreadsheetml/2006/main" count="177" uniqueCount="133">
  <si>
    <t>Tijolo</t>
  </si>
  <si>
    <t>Cimento</t>
  </si>
  <si>
    <r>
      <t xml:space="preserve">Aço CA 60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>5,0 mm</t>
    </r>
  </si>
  <si>
    <r>
      <t xml:space="preserve">Aço CA 50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>8,0 mm</t>
    </r>
  </si>
  <si>
    <t>unid.</t>
  </si>
  <si>
    <t>saco 50 kg</t>
  </si>
  <si>
    <t>m</t>
  </si>
  <si>
    <t>m³</t>
  </si>
  <si>
    <t>kg</t>
  </si>
  <si>
    <t>Piso tipo 2**</t>
  </si>
  <si>
    <t>m²</t>
  </si>
  <si>
    <t>Piso tipo 1* (incl. rodapé)</t>
  </si>
  <si>
    <t>* Copa</t>
  </si>
  <si>
    <t>*** Jardim de inverno, área de serviço, sacada e área da churrasqueira</t>
  </si>
  <si>
    <t>Divisória em dry wall com abertura para porta de 80cm</t>
  </si>
  <si>
    <t>Areia fina</t>
  </si>
  <si>
    <t>Areia grossa</t>
  </si>
  <si>
    <t>** Cozinha, lavabo e escada</t>
  </si>
  <si>
    <t>Azulejo para cozinha</t>
  </si>
  <si>
    <t>Azulejo para lavabo</t>
  </si>
  <si>
    <t>Piso tipo 4**** (incl. rodapé)</t>
  </si>
  <si>
    <t>Piso tipo 3*** (incl. rodapé)</t>
  </si>
  <si>
    <t>Tinta texturizada (parede externa)</t>
  </si>
  <si>
    <t>Brita</t>
  </si>
  <si>
    <t>COBERTURA</t>
  </si>
  <si>
    <t>ACABAMENTO</t>
  </si>
  <si>
    <t>Cumeeira</t>
  </si>
  <si>
    <t>Calha</t>
  </si>
  <si>
    <t>Condutor</t>
  </si>
  <si>
    <t>ESQUADRIAS</t>
  </si>
  <si>
    <t>Porta de abrir - madeira completa externa 0,80 x 2,1 m</t>
  </si>
  <si>
    <t>Porta de abrir - alumínio completa interna 0,80 x 2,1 m</t>
  </si>
  <si>
    <t>Porta de abrir - madeira completa interna 0,70 x 2,1 m</t>
  </si>
  <si>
    <t>Telha de concreto 42 X 33,4 cm</t>
  </si>
  <si>
    <t>Rufo</t>
  </si>
  <si>
    <t>Telha de fibrocimento 6 mm</t>
  </si>
  <si>
    <t>Porta de correr - alumínio e vidro completa 2,00 x 2,1 m**</t>
  </si>
  <si>
    <t>Porta de abrir - alumínio  e vidro completa interna 0,80 x 2,1 m*</t>
  </si>
  <si>
    <t>**01 unidade na cozinha, 01 unidade na suíte e 02 unidades na churrasqueira</t>
  </si>
  <si>
    <t>*Porta para sauna</t>
  </si>
  <si>
    <t>Laje pré-moldada piso</t>
  </si>
  <si>
    <t>Laje pré-moldada forro</t>
  </si>
  <si>
    <t>Manta térmica</t>
  </si>
  <si>
    <t>Manta acústica</t>
  </si>
  <si>
    <t>Esrutura metálica 1*</t>
  </si>
  <si>
    <t>*Treliça metálica apoiada em parede com 2,10 m de comprimeto e 0,42 m de altura</t>
  </si>
  <si>
    <t>Esrutura metálica 2**</t>
  </si>
  <si>
    <t>**Meia treliça metálica apoiada em parede com 0,85 m de comprimeto e 0,34 m de altura</t>
  </si>
  <si>
    <t>Vidro canelado fixo com requadro em alumínio</t>
  </si>
  <si>
    <t>*** Ou tijolo de vidro - entre cozinha e jardim de inverno</t>
  </si>
  <si>
    <t>Janela correr - alumínio e vidro completa 2,00 x 1,00 m</t>
  </si>
  <si>
    <t>Janela basculante - alumínio e vidro completa 0,60 x 0,60 m</t>
  </si>
  <si>
    <t>lata 18L</t>
  </si>
  <si>
    <t>lata 3,6L</t>
  </si>
  <si>
    <t>Tinta PVA ou acrilíca (paredes internas) - 3 demãos</t>
  </si>
  <si>
    <t>Tinta PVA ou acrilíca (teto) - 2 demãos</t>
  </si>
  <si>
    <t>lata 26kg</t>
  </si>
  <si>
    <t>lata 14kg</t>
  </si>
  <si>
    <t>Impermeabilização com pintura - manta líquida</t>
  </si>
  <si>
    <t>Selador acrílico</t>
  </si>
  <si>
    <t>Massa corrida acrílica</t>
  </si>
  <si>
    <t>Gesso teto*****</t>
  </si>
  <si>
    <t>**** Calçada abaixo da sacada</t>
  </si>
  <si>
    <t>***** Gesso em parte da copa e no lavabo</t>
  </si>
  <si>
    <t>Janela basculante - alumínio e vidro completa 0,80 x 2,00 m</t>
  </si>
  <si>
    <t>Ripa  1" x 2" (25 mm x 50 mm)</t>
  </si>
  <si>
    <t>Caibro 2" x 2 3/4" (50 mm x 70 mm)</t>
  </si>
  <si>
    <t>Terça 2 3/8" x 4 3/4" (60 mm x 120 mm)</t>
  </si>
  <si>
    <t>Tesoura elementos  2 3/8" x 4 3/4" (60 mm x 120 mm)</t>
  </si>
  <si>
    <t>Tesoura elementos  2 3/8" x 6 3/8" (60 mm x 160 mm)</t>
  </si>
  <si>
    <t>TOTAL</t>
  </si>
  <si>
    <r>
      <t xml:space="preserve">Aço CA 50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</rPr>
      <t>10,0</t>
    </r>
    <r>
      <rPr>
        <sz val="11"/>
        <color theme="1"/>
        <rFont val="Calibri"/>
        <family val="2"/>
        <scheme val="minor"/>
      </rPr>
      <t xml:space="preserve"> mm</t>
    </r>
  </si>
  <si>
    <t>QUANTIDADE (COM PERDAS)</t>
  </si>
  <si>
    <t>UNIDADE</t>
  </si>
  <si>
    <t>DESCRIÇÃO DO MATERIAL</t>
  </si>
  <si>
    <t>OBSERVAÇÕES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</si>
  <si>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</si>
  <si>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</si>
  <si>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</si>
  <si>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</si>
  <si>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</si>
  <si>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</si>
  <si>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</si>
  <si>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</si>
  <si>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</si>
  <si>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</si>
  <si>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</si>
  <si>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</si>
  <si>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</si>
  <si>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</si>
  <si>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</si>
  <si>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ITEM</t>
  </si>
  <si>
    <t>1.1</t>
  </si>
  <si>
    <t>4.4</t>
  </si>
  <si>
    <t>3.3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</si>
  <si>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</si>
  <si>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</si>
  <si>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</si>
  <si>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</si>
  <si>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</si>
  <si>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</si>
  <si>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</si>
  <si>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</si>
  <si>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</si>
  <si>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3.1</t>
  </si>
  <si>
    <t>3.2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</si>
  <si>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</si>
  <si>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</si>
  <si>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</si>
  <si>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</si>
  <si>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</si>
  <si>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</si>
  <si>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</si>
  <si>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</si>
  <si>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</si>
  <si>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</si>
  <si>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</si>
  <si>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</si>
  <si>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</si>
  <si>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4.1</t>
  </si>
  <si>
    <t>4.2</t>
  </si>
  <si>
    <t>4.3</t>
  </si>
  <si>
    <t>4.5</t>
  </si>
  <si>
    <t>4.6</t>
  </si>
  <si>
    <t>4.7</t>
  </si>
  <si>
    <t>4.8</t>
  </si>
  <si>
    <t>4.9</t>
  </si>
  <si>
    <t>PREÇO UNITÁRIO</t>
  </si>
  <si>
    <t>TOTAL INFRAESTRUTURA. SUPERESTRURA E ALVENARIA</t>
  </si>
  <si>
    <t xml:space="preserve"> INFRAESTRUTURA. SUPERESTRURA E ALVENARIA</t>
  </si>
  <si>
    <t>TOTAL ESQUADRIAS</t>
  </si>
  <si>
    <t>TOTAL ACABAMENTO</t>
  </si>
  <si>
    <t>TOTAL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</si>
</sst>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Border="1"/>
    <xf numFmtId="0" fontId="0" fillId="0" borderId="7" xfId="0" applyBorder="1"/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2" fontId="0" fillId="0" borderId="0" xfId="0" applyNumberFormat="1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8" xfId="0" applyNumberFormat="1" applyBorder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/>
    <xf numFmtId="2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3"/>
  <sheetViews>
    <sheetView tabSelected="1" workbookViewId="0">
      <selection activeCell="F73" sqref="F73"/>
    </sheetView>
  </sheetViews>
  <sheetFormatPr defaultRowHeight="15" x14ac:dyDescent="0.25"/>
  <cols>
    <col min="1" max="1" width="5.7109375" style="8" customWidth="1"/>
    <col min="2" max="2" width="62.85546875" bestFit="1" customWidth="1"/>
    <col min="3" max="3" width="10.85546875" style="1" customWidth="1"/>
    <col min="4" max="4" width="15.28515625" style="2" customWidth="1"/>
    <col min="5" max="5" width="11" customWidth="1"/>
    <col min="6" max="6" width="9.140625" style="2"/>
    <col min="7" max="7" width="9" customWidth="1"/>
  </cols>
  <sheetData>
    <row r="2" spans="1:6" ht="30" x14ac:dyDescent="0.25">
      <c r="A2" s="20" t="s">
        <v>91</v>
      </c>
      <c r="B2" s="21" t="s">
        <v>74</v>
      </c>
      <c r="C2" s="21" t="s">
        <v>73</v>
      </c>
      <c r="D2" s="22" t="s">
        <v>72</v>
      </c>
      <c r="E2" s="22" t="s">
        <v>127</v>
      </c>
      <c r="F2" s="23" t="s">
        <v>70</v>
      </c>
    </row>
    <row r="3" spans="1:6" x14ac:dyDescent="0.25">
      <c r="A3" s="9">
        <v>1</v>
      </c>
      <c r="B3" s="24" t="s">
        <v>129</v>
      </c>
      <c r="C3" s="10"/>
      <c r="D3" s="11"/>
      <c r="E3" s="5"/>
      <c r="F3" s="17"/>
    </row>
    <row r="4" spans="1:6" x14ac:dyDescent="0.25">
      <c r="A4" s="12" t="s">
        <v>92</v>
      </c>
      <c r="B4" s="3" t="s">
        <v>0</v>
      </c>
      <c r="C4" s="6" t="s">
        <v>4</v>
      </c>
      <c r="D4" s="13">
        <v>6175</v>
      </c>
      <c r="E4" s="3"/>
      <c r="F4" s="18">
        <f>E4*D4</f>
        <v>0</v>
      </c>
    </row>
    <row r="5" spans="1:6" x14ac:dyDescent="0.25">
      <c r="A5" s="12" t="s">
        <v>95</v>
      </c>
      <c r="B5" s="3" t="s">
        <v>1</v>
      </c>
      <c r="C5" s="6" t="s">
        <v>5</v>
      </c>
      <c r="D5" s="13">
        <v>198</v>
      </c>
      <c r="E5" s="3"/>
      <c r="F5" s="18">
        <f t="shared" ref="F5:F68" si="0">E5*D5</f>
        <v>0</v>
      </c>
    </row>
    <row r="6" spans="1:6" x14ac:dyDescent="0.25">
      <c r="A6" s="12" t="s">
        <v>96</v>
      </c>
      <c r="B6" s="3" t="s">
        <v>15</v>
      </c>
      <c r="C6" s="6" t="s">
        <v>7</v>
      </c>
      <c r="D6" s="13">
        <v>35</v>
      </c>
      <c r="E6" s="3"/>
      <c r="F6" s="18">
        <f t="shared" si="0"/>
        <v>0</v>
      </c>
    </row>
    <row r="7" spans="1:6" x14ac:dyDescent="0.25">
      <c r="A7" s="12" t="s">
        <v>97</v>
      </c>
      <c r="B7" s="3" t="s">
        <v>16</v>
      </c>
      <c r="C7" s="6" t="s">
        <v>7</v>
      </c>
      <c r="D7" s="13">
        <v>2.2000000000000002</v>
      </c>
      <c r="E7" s="3"/>
      <c r="F7" s="18">
        <f t="shared" si="0"/>
        <v>0</v>
      </c>
    </row>
    <row r="8" spans="1:6" x14ac:dyDescent="0.25">
      <c r="A8" s="12" t="s">
        <v>98</v>
      </c>
      <c r="B8" s="3" t="s">
        <v>23</v>
      </c>
      <c r="C8" s="6" t="s">
        <v>7</v>
      </c>
      <c r="D8" s="13">
        <v>15.5</v>
      </c>
      <c r="E8" s="3"/>
      <c r="F8" s="18">
        <f t="shared" si="0"/>
        <v>0</v>
      </c>
    </row>
    <row r="9" spans="1:6" ht="18.75" x14ac:dyDescent="0.3">
      <c r="A9" s="12" t="s">
        <v>99</v>
      </c>
      <c r="B9" s="3" t="s">
        <v>2</v>
      </c>
      <c r="C9" s="6" t="s">
        <v>8</v>
      </c>
      <c r="D9" s="13">
        <v>64</v>
      </c>
      <c r="E9" s="3"/>
      <c r="F9" s="18">
        <f t="shared" si="0"/>
        <v>0</v>
      </c>
    </row>
    <row r="10" spans="1:6" ht="18.75" x14ac:dyDescent="0.3">
      <c r="A10" s="12" t="s">
        <v>100</v>
      </c>
      <c r="B10" s="3" t="s">
        <v>3</v>
      </c>
      <c r="C10" s="6" t="s">
        <v>8</v>
      </c>
      <c r="D10" s="13">
        <v>276</v>
      </c>
      <c r="E10" s="3"/>
      <c r="F10" s="18">
        <f t="shared" si="0"/>
        <v>0</v>
      </c>
    </row>
    <row r="11" spans="1:6" ht="18.75" x14ac:dyDescent="0.3">
      <c r="A11" s="12" t="s">
        <v>101</v>
      </c>
      <c r="B11" s="3" t="s">
        <v>71</v>
      </c>
      <c r="C11" s="6" t="s">
        <v>8</v>
      </c>
      <c r="D11" s="13">
        <v>498</v>
      </c>
      <c r="E11" s="3"/>
      <c r="F11" s="18">
        <f t="shared" si="0"/>
        <v>0</v>
      </c>
    </row>
    <row r="12" spans="1:6" x14ac:dyDescent="0.25">
      <c r="A12" s="12" t="s">
        <v>102</v>
      </c>
      <c r="B12" s="3" t="s">
        <v>40</v>
      </c>
      <c r="C12" s="6" t="s">
        <v>10</v>
      </c>
      <c r="D12" s="13">
        <v>53.7</v>
      </c>
      <c r="E12" s="3"/>
      <c r="F12" s="18">
        <f t="shared" si="0"/>
        <v>0</v>
      </c>
    </row>
    <row r="13" spans="1:6" ht="18.75" customHeight="1" x14ac:dyDescent="0.25">
      <c r="A13" s="14" t="s">
        <v>103</v>
      </c>
      <c r="B13" s="4" t="s">
        <v>41</v>
      </c>
      <c r="C13" s="15" t="s">
        <v>10</v>
      </c>
      <c r="D13" s="16">
        <v>58.5</v>
      </c>
      <c r="E13" s="4"/>
      <c r="F13" s="19">
        <f t="shared" si="0"/>
        <v>0</v>
      </c>
    </row>
    <row r="14" spans="1:6" x14ac:dyDescent="0.25">
      <c r="A14" s="25" t="s">
        <v>128</v>
      </c>
      <c r="B14" s="26"/>
      <c r="C14" s="26"/>
      <c r="D14" s="26"/>
      <c r="E14" s="26"/>
      <c r="F14" s="30">
        <f>SUM(F4:F13)</f>
        <v>0</v>
      </c>
    </row>
    <row r="15" spans="1:6" ht="15" customHeight="1" x14ac:dyDescent="0.25">
      <c r="A15" s="27">
        <f>A3+1</f>
        <v>2</v>
      </c>
      <c r="B15" s="7" t="s">
        <v>24</v>
      </c>
      <c r="C15" s="6"/>
      <c r="D15" s="13"/>
      <c r="E15" s="3"/>
      <c r="F15" s="18"/>
    </row>
    <row r="16" spans="1:6" x14ac:dyDescent="0.25">
      <c r="A16" s="12" t="s">
        <v>76</v>
      </c>
      <c r="B16" s="3" t="s">
        <v>33</v>
      </c>
      <c r="C16" s="6" t="s">
        <v>4</v>
      </c>
      <c r="D16" s="13">
        <v>950</v>
      </c>
      <c r="E16" s="3"/>
      <c r="F16" s="18">
        <f t="shared" si="0"/>
        <v>0</v>
      </c>
    </row>
    <row r="17" spans="1:6" x14ac:dyDescent="0.25">
      <c r="A17" s="12" t="s">
        <v>77</v>
      </c>
      <c r="B17" s="3" t="s">
        <v>26</v>
      </c>
      <c r="C17" s="6" t="s">
        <v>4</v>
      </c>
      <c r="D17" s="13">
        <v>68</v>
      </c>
      <c r="E17" s="3"/>
      <c r="F17" s="18">
        <f t="shared" si="0"/>
        <v>0</v>
      </c>
    </row>
    <row r="18" spans="1:6" x14ac:dyDescent="0.25">
      <c r="A18" s="12" t="s">
        <v>78</v>
      </c>
      <c r="B18" s="3" t="s">
        <v>68</v>
      </c>
      <c r="C18" s="6" t="s">
        <v>6</v>
      </c>
      <c r="D18" s="13">
        <v>23</v>
      </c>
      <c r="E18" s="3"/>
      <c r="F18" s="18">
        <f t="shared" si="0"/>
        <v>0</v>
      </c>
    </row>
    <row r="19" spans="1:6" x14ac:dyDescent="0.25">
      <c r="A19" s="12" t="s">
        <v>79</v>
      </c>
      <c r="B19" s="3" t="s">
        <v>69</v>
      </c>
      <c r="C19" s="6" t="s">
        <v>6</v>
      </c>
      <c r="D19" s="13">
        <v>79</v>
      </c>
      <c r="E19" s="3"/>
      <c r="F19" s="18">
        <f t="shared" si="0"/>
        <v>0</v>
      </c>
    </row>
    <row r="20" spans="1:6" x14ac:dyDescent="0.25">
      <c r="A20" s="12" t="s">
        <v>80</v>
      </c>
      <c r="B20" s="3" t="s">
        <v>67</v>
      </c>
      <c r="C20" s="6" t="s">
        <v>6</v>
      </c>
      <c r="D20" s="13">
        <v>86</v>
      </c>
      <c r="E20" s="3"/>
      <c r="F20" s="18">
        <f t="shared" si="0"/>
        <v>0</v>
      </c>
    </row>
    <row r="21" spans="1:6" x14ac:dyDescent="0.25">
      <c r="A21" s="12" t="s">
        <v>81</v>
      </c>
      <c r="B21" s="3" t="s">
        <v>66</v>
      </c>
      <c r="C21" s="6" t="s">
        <v>6</v>
      </c>
      <c r="D21" s="13">
        <v>192</v>
      </c>
      <c r="E21" s="3"/>
      <c r="F21" s="18">
        <f t="shared" si="0"/>
        <v>0</v>
      </c>
    </row>
    <row r="22" spans="1:6" x14ac:dyDescent="0.25">
      <c r="A22" s="12" t="s">
        <v>82</v>
      </c>
      <c r="B22" s="3" t="s">
        <v>65</v>
      </c>
      <c r="C22" s="6" t="s">
        <v>6</v>
      </c>
      <c r="D22" s="13">
        <v>283</v>
      </c>
      <c r="E22" s="3"/>
      <c r="F22" s="18">
        <f t="shared" si="0"/>
        <v>0</v>
      </c>
    </row>
    <row r="23" spans="1:6" x14ac:dyDescent="0.25">
      <c r="A23" s="12" t="s">
        <v>83</v>
      </c>
      <c r="B23" s="3" t="s">
        <v>35</v>
      </c>
      <c r="C23" s="6" t="s">
        <v>4</v>
      </c>
      <c r="D23" s="13">
        <v>12</v>
      </c>
      <c r="E23" s="3"/>
      <c r="F23" s="18">
        <f t="shared" si="0"/>
        <v>0</v>
      </c>
    </row>
    <row r="24" spans="1:6" x14ac:dyDescent="0.25">
      <c r="A24" s="12" t="s">
        <v>84</v>
      </c>
      <c r="B24" s="3" t="s">
        <v>42</v>
      </c>
      <c r="C24" s="6" t="s">
        <v>10</v>
      </c>
      <c r="D24" s="13">
        <v>12.8</v>
      </c>
      <c r="E24" s="3"/>
      <c r="F24" s="18">
        <f t="shared" si="0"/>
        <v>0</v>
      </c>
    </row>
    <row r="25" spans="1:6" x14ac:dyDescent="0.25">
      <c r="A25" s="12" t="s">
        <v>85</v>
      </c>
      <c r="B25" s="3" t="s">
        <v>43</v>
      </c>
      <c r="C25" s="6" t="s">
        <v>10</v>
      </c>
      <c r="D25" s="13">
        <v>12.8</v>
      </c>
      <c r="E25" s="3"/>
      <c r="F25" s="18">
        <f t="shared" si="0"/>
        <v>0</v>
      </c>
    </row>
    <row r="26" spans="1:6" x14ac:dyDescent="0.25">
      <c r="A26" s="12" t="s">
        <v>86</v>
      </c>
      <c r="B26" s="3" t="s">
        <v>44</v>
      </c>
      <c r="C26" s="6" t="s">
        <v>4</v>
      </c>
      <c r="D26" s="13">
        <v>3</v>
      </c>
      <c r="E26" s="3"/>
      <c r="F26" s="18">
        <f t="shared" si="0"/>
        <v>0</v>
      </c>
    </row>
    <row r="27" spans="1:6" x14ac:dyDescent="0.25">
      <c r="A27" s="12" t="s">
        <v>87</v>
      </c>
      <c r="B27" s="3" t="s">
        <v>46</v>
      </c>
      <c r="C27" s="6" t="s">
        <v>4</v>
      </c>
      <c r="D27" s="13">
        <v>1</v>
      </c>
      <c r="E27" s="3"/>
      <c r="F27" s="18">
        <f t="shared" si="0"/>
        <v>0</v>
      </c>
    </row>
    <row r="28" spans="1:6" x14ac:dyDescent="0.25">
      <c r="A28" s="12" t="s">
        <v>88</v>
      </c>
      <c r="B28" s="3" t="s">
        <v>27</v>
      </c>
      <c r="C28" s="6" t="s">
        <v>6</v>
      </c>
      <c r="D28" s="13">
        <v>24.5</v>
      </c>
      <c r="E28" s="3"/>
      <c r="F28" s="18">
        <f t="shared" si="0"/>
        <v>0</v>
      </c>
    </row>
    <row r="29" spans="1:6" x14ac:dyDescent="0.25">
      <c r="A29" s="12" t="s">
        <v>89</v>
      </c>
      <c r="B29" s="3" t="s">
        <v>28</v>
      </c>
      <c r="C29" s="6" t="s">
        <v>6</v>
      </c>
      <c r="D29" s="13">
        <v>43</v>
      </c>
      <c r="E29" s="3"/>
      <c r="F29" s="18">
        <f t="shared" si="0"/>
        <v>0</v>
      </c>
    </row>
    <row r="30" spans="1:6" x14ac:dyDescent="0.25">
      <c r="A30" s="12" t="s">
        <v>90</v>
      </c>
      <c r="B30" s="3" t="s">
        <v>34</v>
      </c>
      <c r="C30" s="6" t="s">
        <v>6</v>
      </c>
      <c r="D30" s="13">
        <v>3.5</v>
      </c>
      <c r="E30" s="3"/>
      <c r="F30" s="18">
        <f t="shared" si="0"/>
        <v>0</v>
      </c>
    </row>
    <row r="31" spans="1:6" x14ac:dyDescent="0.25">
      <c r="A31" s="12"/>
      <c r="B31" s="28" t="s">
        <v>75</v>
      </c>
      <c r="C31" s="6"/>
      <c r="D31" s="13"/>
      <c r="E31" s="3"/>
      <c r="F31" s="18"/>
    </row>
    <row r="32" spans="1:6" ht="25.5" x14ac:dyDescent="0.25">
      <c r="A32" s="12"/>
      <c r="B32" s="28" t="s">
        <v>45</v>
      </c>
      <c r="C32" s="6"/>
      <c r="D32" s="13"/>
      <c r="E32" s="3"/>
      <c r="F32" s="18"/>
    </row>
    <row r="33" spans="1:6" ht="25.5" x14ac:dyDescent="0.25">
      <c r="A33" s="12"/>
      <c r="B33" s="28" t="s">
        <v>47</v>
      </c>
      <c r="C33" s="6"/>
      <c r="D33" s="13"/>
      <c r="E33" s="3"/>
      <c r="F33" s="18"/>
    </row>
    <row r="34" spans="1:6" x14ac:dyDescent="0.25">
      <c r="A34" s="25" t="s">
        <v>132</v>
      </c>
      <c r="B34" s="26"/>
      <c r="C34" s="26"/>
      <c r="D34" s="26"/>
      <c r="E34" s="26"/>
      <c r="F34" s="30">
        <f>SUM(F15:F33)</f>
        <v>0</v>
      </c>
    </row>
    <row r="35" spans="1:6" x14ac:dyDescent="0.25">
      <c r="A35" s="27">
        <f>A15+1</f>
        <v>3</v>
      </c>
      <c r="B35" s="7" t="s">
        <v>25</v>
      </c>
      <c r="C35" s="6"/>
      <c r="D35" s="13"/>
      <c r="E35" s="3"/>
      <c r="F35" s="18"/>
    </row>
    <row r="36" spans="1:6" x14ac:dyDescent="0.25">
      <c r="A36" s="12" t="s">
        <v>104</v>
      </c>
      <c r="B36" s="3" t="s">
        <v>11</v>
      </c>
      <c r="C36" s="6" t="s">
        <v>10</v>
      </c>
      <c r="D36" s="13">
        <v>21.2</v>
      </c>
      <c r="E36" s="3"/>
      <c r="F36" s="18">
        <f t="shared" si="0"/>
        <v>0</v>
      </c>
    </row>
    <row r="37" spans="1:6" x14ac:dyDescent="0.25">
      <c r="A37" s="12" t="s">
        <v>105</v>
      </c>
      <c r="B37" s="3" t="s">
        <v>9</v>
      </c>
      <c r="C37" s="6" t="s">
        <v>10</v>
      </c>
      <c r="D37" s="13">
        <v>32.200000000000003</v>
      </c>
      <c r="E37" s="3"/>
      <c r="F37" s="18">
        <f t="shared" si="0"/>
        <v>0</v>
      </c>
    </row>
    <row r="38" spans="1:6" x14ac:dyDescent="0.25">
      <c r="A38" s="12" t="s">
        <v>94</v>
      </c>
      <c r="B38" s="3" t="s">
        <v>21</v>
      </c>
      <c r="C38" s="6" t="s">
        <v>10</v>
      </c>
      <c r="D38" s="13">
        <v>78.400000000000006</v>
      </c>
      <c r="E38" s="3"/>
      <c r="F38" s="18">
        <f t="shared" si="0"/>
        <v>0</v>
      </c>
    </row>
    <row r="39" spans="1:6" x14ac:dyDescent="0.25">
      <c r="A39" s="12" t="s">
        <v>106</v>
      </c>
      <c r="B39" s="3" t="s">
        <v>20</v>
      </c>
      <c r="C39" s="6" t="s">
        <v>10</v>
      </c>
      <c r="D39" s="13">
        <v>18</v>
      </c>
      <c r="E39" s="3"/>
      <c r="F39" s="18">
        <f t="shared" si="0"/>
        <v>0</v>
      </c>
    </row>
    <row r="40" spans="1:6" x14ac:dyDescent="0.25">
      <c r="A40" s="12" t="s">
        <v>107</v>
      </c>
      <c r="B40" s="3" t="s">
        <v>18</v>
      </c>
      <c r="C40" s="6" t="s">
        <v>10</v>
      </c>
      <c r="D40" s="13">
        <v>53.5</v>
      </c>
      <c r="E40" s="3"/>
      <c r="F40" s="18">
        <f t="shared" si="0"/>
        <v>0</v>
      </c>
    </row>
    <row r="41" spans="1:6" x14ac:dyDescent="0.25">
      <c r="A41" s="12" t="s">
        <v>108</v>
      </c>
      <c r="B41" s="3" t="s">
        <v>19</v>
      </c>
      <c r="C41" s="6" t="s">
        <v>10</v>
      </c>
      <c r="D41" s="13">
        <v>13.7</v>
      </c>
      <c r="E41" s="3"/>
      <c r="F41" s="18">
        <f t="shared" si="0"/>
        <v>0</v>
      </c>
    </row>
    <row r="42" spans="1:6" x14ac:dyDescent="0.25">
      <c r="A42" s="12" t="s">
        <v>109</v>
      </c>
      <c r="B42" s="3" t="s">
        <v>14</v>
      </c>
      <c r="C42" s="6" t="s">
        <v>10</v>
      </c>
      <c r="D42" s="13">
        <v>8.4</v>
      </c>
      <c r="E42" s="3"/>
      <c r="F42" s="18">
        <f t="shared" si="0"/>
        <v>0</v>
      </c>
    </row>
    <row r="43" spans="1:6" x14ac:dyDescent="0.25">
      <c r="A43" s="12" t="s">
        <v>110</v>
      </c>
      <c r="B43" s="3" t="s">
        <v>61</v>
      </c>
      <c r="C43" s="6" t="s">
        <v>10</v>
      </c>
      <c r="D43" s="13">
        <v>9.9499999999999993</v>
      </c>
      <c r="E43" s="3"/>
      <c r="F43" s="18">
        <f t="shared" si="0"/>
        <v>0</v>
      </c>
    </row>
    <row r="44" spans="1:6" x14ac:dyDescent="0.25">
      <c r="A44" s="12" t="s">
        <v>111</v>
      </c>
      <c r="B44" s="3" t="s">
        <v>59</v>
      </c>
      <c r="C44" s="6" t="s">
        <v>52</v>
      </c>
      <c r="D44" s="13">
        <v>4</v>
      </c>
      <c r="E44" s="3"/>
      <c r="F44" s="18">
        <f t="shared" si="0"/>
        <v>0</v>
      </c>
    </row>
    <row r="45" spans="1:6" x14ac:dyDescent="0.25">
      <c r="A45" s="12" t="s">
        <v>112</v>
      </c>
      <c r="B45" s="3" t="s">
        <v>59</v>
      </c>
      <c r="C45" s="6" t="s">
        <v>53</v>
      </c>
      <c r="D45" s="13">
        <v>3</v>
      </c>
      <c r="E45" s="3"/>
      <c r="F45" s="18">
        <f t="shared" si="0"/>
        <v>0</v>
      </c>
    </row>
    <row r="46" spans="1:6" x14ac:dyDescent="0.25">
      <c r="A46" s="12" t="s">
        <v>113</v>
      </c>
      <c r="B46" s="3" t="s">
        <v>60</v>
      </c>
      <c r="C46" s="6" t="s">
        <v>52</v>
      </c>
      <c r="D46" s="13">
        <v>7</v>
      </c>
      <c r="E46" s="3"/>
      <c r="F46" s="18">
        <f t="shared" si="0"/>
        <v>0</v>
      </c>
    </row>
    <row r="47" spans="1:6" x14ac:dyDescent="0.25">
      <c r="A47" s="12" t="s">
        <v>114</v>
      </c>
      <c r="B47" s="3" t="s">
        <v>54</v>
      </c>
      <c r="C47" s="6" t="s">
        <v>52</v>
      </c>
      <c r="D47" s="13">
        <v>2</v>
      </c>
      <c r="E47" s="3"/>
      <c r="F47" s="18">
        <f t="shared" si="0"/>
        <v>0</v>
      </c>
    </row>
    <row r="48" spans="1:6" x14ac:dyDescent="0.25">
      <c r="A48" s="12" t="s">
        <v>115</v>
      </c>
      <c r="B48" s="3" t="s">
        <v>54</v>
      </c>
      <c r="C48" s="6" t="s">
        <v>53</v>
      </c>
      <c r="D48" s="13">
        <v>2</v>
      </c>
      <c r="E48" s="3"/>
      <c r="F48" s="18">
        <f t="shared" si="0"/>
        <v>0</v>
      </c>
    </row>
    <row r="49" spans="1:6" x14ac:dyDescent="0.25">
      <c r="A49" s="12" t="s">
        <v>116</v>
      </c>
      <c r="B49" s="3" t="s">
        <v>55</v>
      </c>
      <c r="C49" s="6" t="s">
        <v>53</v>
      </c>
      <c r="D49" s="13">
        <v>5</v>
      </c>
      <c r="E49" s="3"/>
      <c r="F49" s="18">
        <f t="shared" si="0"/>
        <v>0</v>
      </c>
    </row>
    <row r="50" spans="1:6" x14ac:dyDescent="0.25">
      <c r="A50" s="12" t="s">
        <v>117</v>
      </c>
      <c r="B50" s="3" t="s">
        <v>22</v>
      </c>
      <c r="C50" s="6" t="s">
        <v>56</v>
      </c>
      <c r="D50" s="13">
        <v>13</v>
      </c>
      <c r="E50" s="3"/>
      <c r="F50" s="18">
        <f t="shared" si="0"/>
        <v>0</v>
      </c>
    </row>
    <row r="51" spans="1:6" x14ac:dyDescent="0.25">
      <c r="A51" s="12" t="s">
        <v>118</v>
      </c>
      <c r="B51" s="3" t="s">
        <v>58</v>
      </c>
      <c r="C51" s="6" t="s">
        <v>57</v>
      </c>
      <c r="D51" s="13">
        <v>5</v>
      </c>
      <c r="E51" s="3"/>
      <c r="F51" s="18">
        <f t="shared" si="0"/>
        <v>0</v>
      </c>
    </row>
    <row r="52" spans="1:6" x14ac:dyDescent="0.25">
      <c r="A52" s="12"/>
      <c r="B52" s="28" t="s">
        <v>75</v>
      </c>
      <c r="C52" s="6"/>
      <c r="D52" s="13"/>
      <c r="E52" s="3"/>
      <c r="F52" s="18"/>
    </row>
    <row r="53" spans="1:6" x14ac:dyDescent="0.25">
      <c r="A53" s="12"/>
      <c r="B53" s="29" t="s">
        <v>12</v>
      </c>
      <c r="C53" s="6"/>
      <c r="D53" s="13"/>
      <c r="E53" s="3"/>
      <c r="F53" s="18"/>
    </row>
    <row r="54" spans="1:6" x14ac:dyDescent="0.25">
      <c r="A54" s="12"/>
      <c r="B54" s="29" t="s">
        <v>17</v>
      </c>
      <c r="C54" s="6"/>
      <c r="D54" s="13"/>
      <c r="E54" s="3"/>
      <c r="F54" s="18"/>
    </row>
    <row r="55" spans="1:6" x14ac:dyDescent="0.25">
      <c r="A55" s="12"/>
      <c r="B55" s="29" t="s">
        <v>13</v>
      </c>
      <c r="C55" s="6"/>
      <c r="D55" s="13"/>
      <c r="E55" s="3"/>
      <c r="F55" s="18"/>
    </row>
    <row r="56" spans="1:6" x14ac:dyDescent="0.25">
      <c r="A56" s="12"/>
      <c r="B56" s="29" t="s">
        <v>62</v>
      </c>
      <c r="C56" s="6"/>
      <c r="D56" s="13"/>
      <c r="E56" s="3"/>
      <c r="F56" s="18"/>
    </row>
    <row r="57" spans="1:6" x14ac:dyDescent="0.25">
      <c r="A57" s="12"/>
      <c r="B57" s="29" t="s">
        <v>63</v>
      </c>
      <c r="C57" s="6"/>
      <c r="D57" s="13"/>
      <c r="E57" s="3"/>
      <c r="F57" s="18"/>
    </row>
    <row r="58" spans="1:6" x14ac:dyDescent="0.25">
      <c r="A58" s="25" t="s">
        <v>131</v>
      </c>
      <c r="B58" s="26"/>
      <c r="C58" s="26"/>
      <c r="D58" s="26"/>
      <c r="E58" s="26"/>
      <c r="F58" s="30">
        <f>SUM(F35:F57)</f>
        <v>0</v>
      </c>
    </row>
    <row r="59" spans="1:6" x14ac:dyDescent="0.25">
      <c r="A59" s="12">
        <f>A35+1</f>
        <v>4</v>
      </c>
      <c r="B59" s="7" t="s">
        <v>29</v>
      </c>
      <c r="C59" s="6"/>
      <c r="D59" s="13"/>
      <c r="E59" s="3"/>
      <c r="F59" s="18">
        <f t="shared" si="0"/>
        <v>0</v>
      </c>
    </row>
    <row r="60" spans="1:6" x14ac:dyDescent="0.25">
      <c r="A60" s="12" t="s">
        <v>119</v>
      </c>
      <c r="B60" s="3" t="s">
        <v>30</v>
      </c>
      <c r="C60" s="6" t="s">
        <v>4</v>
      </c>
      <c r="D60" s="13">
        <v>2</v>
      </c>
      <c r="E60" s="3"/>
      <c r="F60" s="18">
        <f t="shared" si="0"/>
        <v>0</v>
      </c>
    </row>
    <row r="61" spans="1:6" x14ac:dyDescent="0.25">
      <c r="A61" s="12" t="s">
        <v>120</v>
      </c>
      <c r="B61" s="3" t="s">
        <v>32</v>
      </c>
      <c r="C61" s="6" t="s">
        <v>4</v>
      </c>
      <c r="D61" s="13">
        <v>1</v>
      </c>
      <c r="E61" s="3"/>
      <c r="F61" s="18">
        <f t="shared" si="0"/>
        <v>0</v>
      </c>
    </row>
    <row r="62" spans="1:6" x14ac:dyDescent="0.25">
      <c r="A62" s="12" t="s">
        <v>121</v>
      </c>
      <c r="B62" s="3" t="s">
        <v>31</v>
      </c>
      <c r="C62" s="6" t="s">
        <v>4</v>
      </c>
      <c r="D62" s="13">
        <v>2</v>
      </c>
      <c r="E62" s="3"/>
      <c r="F62" s="18">
        <f t="shared" si="0"/>
        <v>0</v>
      </c>
    </row>
    <row r="63" spans="1:6" x14ac:dyDescent="0.25">
      <c r="A63" s="12" t="s">
        <v>93</v>
      </c>
      <c r="B63" s="3" t="s">
        <v>37</v>
      </c>
      <c r="C63" s="6" t="s">
        <v>4</v>
      </c>
      <c r="D63" s="13">
        <v>1</v>
      </c>
      <c r="E63" s="3"/>
      <c r="F63" s="18">
        <f t="shared" si="0"/>
        <v>0</v>
      </c>
    </row>
    <row r="64" spans="1:6" x14ac:dyDescent="0.25">
      <c r="A64" s="12" t="s">
        <v>122</v>
      </c>
      <c r="B64" s="3" t="s">
        <v>36</v>
      </c>
      <c r="C64" s="6" t="s">
        <v>4</v>
      </c>
      <c r="D64" s="13">
        <v>5</v>
      </c>
      <c r="E64" s="3"/>
      <c r="F64" s="18">
        <f t="shared" si="0"/>
        <v>0</v>
      </c>
    </row>
    <row r="65" spans="1:6" x14ac:dyDescent="0.25">
      <c r="A65" s="12" t="s">
        <v>123</v>
      </c>
      <c r="B65" s="3" t="s">
        <v>50</v>
      </c>
      <c r="C65" s="6" t="s">
        <v>4</v>
      </c>
      <c r="D65" s="13">
        <v>4</v>
      </c>
      <c r="E65" s="3"/>
      <c r="F65" s="18">
        <f t="shared" si="0"/>
        <v>0</v>
      </c>
    </row>
    <row r="66" spans="1:6" x14ac:dyDescent="0.25">
      <c r="A66" s="12" t="s">
        <v>124</v>
      </c>
      <c r="B66" s="3" t="s">
        <v>48</v>
      </c>
      <c r="C66" s="6" t="s">
        <v>10</v>
      </c>
      <c r="D66" s="13">
        <v>1.5</v>
      </c>
      <c r="E66" s="3"/>
      <c r="F66" s="18">
        <f t="shared" si="0"/>
        <v>0</v>
      </c>
    </row>
    <row r="67" spans="1:6" x14ac:dyDescent="0.25">
      <c r="A67" s="12" t="s">
        <v>125</v>
      </c>
      <c r="B67" s="3" t="s">
        <v>51</v>
      </c>
      <c r="C67" s="6" t="s">
        <v>4</v>
      </c>
      <c r="D67" s="13">
        <v>1</v>
      </c>
      <c r="E67" s="3"/>
      <c r="F67" s="18">
        <f t="shared" si="0"/>
        <v>0</v>
      </c>
    </row>
    <row r="68" spans="1:6" x14ac:dyDescent="0.25">
      <c r="A68" s="12" t="s">
        <v>126</v>
      </c>
      <c r="B68" s="3" t="s">
        <v>64</v>
      </c>
      <c r="C68" s="6" t="s">
        <v>4</v>
      </c>
      <c r="D68" s="13">
        <v>2</v>
      </c>
      <c r="E68" s="3"/>
      <c r="F68" s="18">
        <f t="shared" si="0"/>
        <v>0</v>
      </c>
    </row>
    <row r="69" spans="1:6" x14ac:dyDescent="0.25">
      <c r="A69" s="12"/>
      <c r="B69" s="28" t="s">
        <v>75</v>
      </c>
      <c r="C69" s="6"/>
      <c r="D69" s="13"/>
      <c r="E69" s="3"/>
      <c r="F69" s="18"/>
    </row>
    <row r="70" spans="1:6" x14ac:dyDescent="0.25">
      <c r="A70" s="12"/>
      <c r="B70" s="29" t="s">
        <v>39</v>
      </c>
      <c r="C70" s="6"/>
      <c r="D70" s="13"/>
      <c r="E70" s="3"/>
      <c r="F70" s="18"/>
    </row>
    <row r="71" spans="1:6" x14ac:dyDescent="0.25">
      <c r="A71" s="12"/>
      <c r="B71" s="29" t="s">
        <v>38</v>
      </c>
      <c r="C71" s="6"/>
      <c r="D71" s="13"/>
      <c r="E71" s="3"/>
      <c r="F71" s="18"/>
    </row>
    <row r="72" spans="1:6" x14ac:dyDescent="0.25">
      <c r="A72" s="12"/>
      <c r="B72" s="29" t="s">
        <v>49</v>
      </c>
      <c r="C72" s="6"/>
      <c r="D72" s="13"/>
      <c r="E72" s="3"/>
      <c r="F72" s="18"/>
    </row>
    <row r="73" spans="1:6" x14ac:dyDescent="0.25">
      <c r="A73" s="25" t="s">
        <v>130</v>
      </c>
      <c r="B73" s="26"/>
      <c r="C73" s="26"/>
      <c r="D73" s="26"/>
      <c r="E73" s="26"/>
      <c r="F73" s="30">
        <f>SUM(F59:F72)</f>
        <v>0</v>
      </c>
    </row>
  </sheetData>
  <mergeCells count="4">
    <mergeCell ref="A14:E14"/>
    <mergeCell ref="A34:E34"/>
    <mergeCell ref="A58:E58"/>
    <mergeCell ref="A73:E7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Domingues Gonçalves</dc:creator>
  <cp:lastModifiedBy>Rafael Domingues Gonçalves</cp:lastModifiedBy>
  <dcterms:created xsi:type="dcterms:W3CDTF">2017-07-21T00:02:15Z</dcterms:created>
  <dcterms:modified xsi:type="dcterms:W3CDTF">2017-07-23T23:46:27Z</dcterms:modified>
</cp:coreProperties>
</file>