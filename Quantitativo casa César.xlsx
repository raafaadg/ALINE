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e\Desktop\ALINE\"/>
    </mc:Choice>
  </mc:AlternateContent>
  <bookViews>
    <workbookView xWindow="0" yWindow="0" windowWidth="28800" windowHeight="13275"/>
  </bookViews>
  <sheets>
    <sheet name="Resumo 2" sheetId="7" r:id="rId1"/>
    <sheet name="Resumo 1" sheetId="6" r:id="rId2"/>
    <sheet name="Resumo detalhado" sheetId="3" r:id="rId3"/>
    <sheet name=" Cobertura" sheetId="5" r:id="rId4"/>
    <sheet name="Piso" sheetId="4" r:id="rId5"/>
    <sheet name="Alvenaria" sheetId="2" r:id="rId6"/>
    <sheet name="Estrutural" sheetId="1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7" l="1"/>
  <c r="A59" i="7"/>
  <c r="A35" i="7"/>
  <c r="A15" i="7"/>
  <c r="C50" i="6"/>
  <c r="C49" i="6"/>
  <c r="D49" i="6" s="1"/>
  <c r="C48" i="6"/>
  <c r="D48" i="6" s="1"/>
  <c r="C46" i="6"/>
  <c r="D46" i="6" s="1"/>
  <c r="C45" i="6"/>
  <c r="C43" i="6"/>
  <c r="D43" i="6" s="1"/>
  <c r="C41" i="6"/>
  <c r="E40" i="6"/>
  <c r="C40" i="6"/>
  <c r="E39" i="6"/>
  <c r="C39" i="6"/>
  <c r="E38" i="6"/>
  <c r="C38" i="6"/>
  <c r="E37" i="6"/>
  <c r="C37" i="6"/>
  <c r="E36" i="6"/>
  <c r="C36" i="6"/>
  <c r="C35" i="6"/>
  <c r="E35" i="6" s="1"/>
  <c r="C29" i="6"/>
  <c r="D29" i="6" s="1"/>
  <c r="C28" i="6"/>
  <c r="D28" i="6" s="1"/>
  <c r="C27" i="6"/>
  <c r="D27" i="6" s="1"/>
  <c r="C24" i="6"/>
  <c r="D24" i="6" s="1"/>
  <c r="D23" i="6"/>
  <c r="C23" i="6"/>
  <c r="C22" i="6"/>
  <c r="D22" i="6" s="1"/>
  <c r="C21" i="6"/>
  <c r="D21" i="6" s="1"/>
  <c r="C20" i="6"/>
  <c r="D20" i="6" s="1"/>
  <c r="C19" i="6"/>
  <c r="D19" i="6" s="1"/>
  <c r="C18" i="6"/>
  <c r="D18" i="6" s="1"/>
  <c r="C17" i="6"/>
  <c r="D17" i="6" s="1"/>
  <c r="C16" i="6"/>
  <c r="D16" i="6" s="1"/>
  <c r="C15" i="6"/>
  <c r="D15" i="6" s="1"/>
  <c r="C10" i="6"/>
  <c r="D10" i="6" s="1"/>
  <c r="C9" i="6"/>
  <c r="D9" i="6" s="1"/>
  <c r="C8" i="6"/>
  <c r="D8" i="6" s="1"/>
  <c r="C7" i="6"/>
  <c r="D7" i="6" s="1"/>
  <c r="C6" i="6"/>
  <c r="D6" i="6" s="1"/>
  <c r="C5" i="6"/>
  <c r="D5" i="6" s="1"/>
  <c r="C4" i="6"/>
  <c r="D4" i="6" s="1"/>
  <c r="C3" i="6"/>
  <c r="D3" i="6" s="1"/>
  <c r="D10" i="3"/>
  <c r="D9" i="3"/>
  <c r="D8" i="3"/>
  <c r="C10" i="3"/>
  <c r="C9" i="3"/>
  <c r="C8" i="3"/>
  <c r="E37" i="1"/>
  <c r="D37" i="1"/>
  <c r="C37" i="1"/>
  <c r="C7" i="3"/>
  <c r="C5" i="3"/>
  <c r="C4" i="3"/>
  <c r="C19" i="1"/>
  <c r="C3" i="3"/>
  <c r="C21" i="1"/>
  <c r="C20" i="1"/>
  <c r="C18" i="1"/>
  <c r="N9" i="1"/>
  <c r="M9" i="1"/>
  <c r="M4" i="1"/>
  <c r="D29" i="1"/>
  <c r="D28" i="1"/>
  <c r="E28" i="1"/>
  <c r="E29" i="1"/>
  <c r="C31" i="1"/>
  <c r="C32" i="1"/>
  <c r="C30" i="1"/>
  <c r="E33" i="1"/>
  <c r="D33" i="1"/>
  <c r="D31" i="1"/>
  <c r="E30" i="1"/>
  <c r="C27" i="1"/>
  <c r="C36" i="1"/>
  <c r="E27" i="1"/>
  <c r="D36" i="1"/>
  <c r="E36" i="1"/>
  <c r="B15" i="1"/>
  <c r="L4" i="1"/>
  <c r="L9" i="1"/>
  <c r="E35" i="1" s="1"/>
  <c r="D32" i="1"/>
  <c r="D34" i="1"/>
  <c r="E34" i="1"/>
  <c r="N4" i="1"/>
  <c r="C15" i="1"/>
  <c r="H13" i="1"/>
  <c r="I13" i="1" s="1"/>
  <c r="H12" i="1"/>
  <c r="I12" i="1" s="1"/>
  <c r="H11" i="1"/>
  <c r="I11" i="1" s="1"/>
  <c r="H6" i="1"/>
  <c r="I6" i="1" s="1"/>
  <c r="H5" i="1"/>
  <c r="I5" i="1" s="1"/>
  <c r="H4" i="1"/>
  <c r="I4" i="1" s="1"/>
  <c r="C10" i="1"/>
  <c r="D10" i="1" s="1"/>
  <c r="C9" i="1"/>
  <c r="B9" i="1"/>
  <c r="C4" i="1"/>
  <c r="D4" i="1" s="1"/>
  <c r="F49" i="2"/>
  <c r="D17" i="3"/>
  <c r="C18" i="3"/>
  <c r="D18" i="3" s="1"/>
  <c r="C17" i="3"/>
  <c r="C6" i="5"/>
  <c r="C7" i="5"/>
  <c r="C8" i="5"/>
  <c r="C19" i="3" s="1"/>
  <c r="D19" i="3" s="1"/>
  <c r="C9" i="5"/>
  <c r="C20" i="3" s="1"/>
  <c r="D20" i="3" s="1"/>
  <c r="F34" i="2"/>
  <c r="E34" i="2"/>
  <c r="D34" i="2"/>
  <c r="F35" i="2"/>
  <c r="C48" i="3"/>
  <c r="J31" i="2"/>
  <c r="F48" i="2"/>
  <c r="F50" i="2"/>
  <c r="F37" i="2"/>
  <c r="J29" i="2" s="1"/>
  <c r="C46" i="3" s="1"/>
  <c r="D46" i="3" s="1"/>
  <c r="D42" i="2"/>
  <c r="E43" i="2"/>
  <c r="F43" i="2" s="1"/>
  <c r="B42" i="2"/>
  <c r="E42" i="2" s="1"/>
  <c r="F42" i="2" s="1"/>
  <c r="D31" i="2"/>
  <c r="D30" i="2"/>
  <c r="B33" i="2"/>
  <c r="D32" i="2"/>
  <c r="C13" i="5"/>
  <c r="C23" i="3" s="1"/>
  <c r="D23" i="3" s="1"/>
  <c r="C18" i="5"/>
  <c r="C29" i="3" s="1"/>
  <c r="D29" i="3" s="1"/>
  <c r="C17" i="5"/>
  <c r="C28" i="3" s="1"/>
  <c r="D28" i="3" s="1"/>
  <c r="C16" i="5"/>
  <c r="C27" i="3" s="1"/>
  <c r="C4" i="5"/>
  <c r="C5" i="5" s="1"/>
  <c r="C16" i="3" s="1"/>
  <c r="D16" i="3" s="1"/>
  <c r="C2" i="5"/>
  <c r="C3" i="5" s="1"/>
  <c r="C15" i="3" s="1"/>
  <c r="D15" i="3" s="1"/>
  <c r="D35" i="1" l="1"/>
  <c r="D15" i="1"/>
  <c r="I14" i="1"/>
  <c r="I7" i="1"/>
  <c r="D9" i="1"/>
  <c r="D11" i="1" s="1"/>
  <c r="C24" i="3"/>
  <c r="D24" i="3" s="1"/>
  <c r="C10" i="5"/>
  <c r="C21" i="3" s="1"/>
  <c r="D21" i="3" s="1"/>
  <c r="C14" i="5"/>
  <c r="C22" i="3" s="1"/>
  <c r="D22" i="3" s="1"/>
  <c r="F44" i="2"/>
  <c r="J30" i="2" s="1"/>
  <c r="C47" i="3" s="1"/>
  <c r="D47" i="3" s="1"/>
  <c r="D27" i="3"/>
  <c r="C17" i="4"/>
  <c r="E17" i="4" s="1"/>
  <c r="E37" i="3" s="1"/>
  <c r="E33" i="2"/>
  <c r="F33" i="2" s="1"/>
  <c r="E32" i="2"/>
  <c r="F32" i="2" s="1"/>
  <c r="E31" i="2"/>
  <c r="E30" i="2"/>
  <c r="F30" i="2" s="1"/>
  <c r="C11" i="4"/>
  <c r="C10" i="4"/>
  <c r="D7" i="3"/>
  <c r="C5" i="4"/>
  <c r="C7" i="4"/>
  <c r="C6" i="4"/>
  <c r="C9" i="4"/>
  <c r="C4" i="4"/>
  <c r="C2" i="4"/>
  <c r="E38" i="3"/>
  <c r="C38" i="3"/>
  <c r="E18" i="4"/>
  <c r="C18" i="4"/>
  <c r="C41" i="3"/>
  <c r="E40" i="3"/>
  <c r="C40" i="3"/>
  <c r="E20" i="4"/>
  <c r="C20" i="4"/>
  <c r="C16" i="4"/>
  <c r="E39" i="3"/>
  <c r="C39" i="3"/>
  <c r="C37" i="3"/>
  <c r="C21" i="4"/>
  <c r="E19" i="4"/>
  <c r="C19" i="4"/>
  <c r="E16" i="4"/>
  <c r="E36" i="3" s="1"/>
  <c r="C36" i="3"/>
  <c r="C35" i="3"/>
  <c r="E35" i="3" s="1"/>
  <c r="C15" i="4"/>
  <c r="E15" i="4" s="1"/>
  <c r="J7" i="2"/>
  <c r="F31" i="2" l="1"/>
  <c r="E20" i="2"/>
  <c r="F20" i="2" s="1"/>
  <c r="E24" i="2"/>
  <c r="F24" i="2" s="1"/>
  <c r="E23" i="2"/>
  <c r="F23" i="2" s="1"/>
  <c r="E22" i="2"/>
  <c r="E21" i="2"/>
  <c r="F21" i="2" s="1"/>
  <c r="E19" i="2"/>
  <c r="F19" i="2" s="1"/>
  <c r="D12" i="2"/>
  <c r="D8" i="2"/>
  <c r="D6" i="2"/>
  <c r="D4" i="2"/>
  <c r="E14" i="2"/>
  <c r="F14" i="2" s="1"/>
  <c r="E7" i="2"/>
  <c r="F7" i="2" s="1"/>
  <c r="E13" i="2"/>
  <c r="F13" i="2" s="1"/>
  <c r="E5" i="2"/>
  <c r="F5" i="2" s="1"/>
  <c r="E6" i="2"/>
  <c r="E8" i="2"/>
  <c r="E9" i="2"/>
  <c r="F9" i="2" s="1"/>
  <c r="E10" i="2"/>
  <c r="F10" i="2" s="1"/>
  <c r="E11" i="2"/>
  <c r="F11" i="2" s="1"/>
  <c r="E12" i="2"/>
  <c r="E4" i="2"/>
  <c r="F4" i="2" s="1"/>
  <c r="J28" i="2" l="1"/>
  <c r="C45" i="3" s="1"/>
  <c r="D45" i="3" s="1"/>
  <c r="J33" i="2"/>
  <c r="C44" i="3" s="1"/>
  <c r="J32" i="2"/>
  <c r="C43" i="3" s="1"/>
  <c r="F6" i="2"/>
  <c r="F22" i="2"/>
  <c r="F25" i="2" s="1"/>
  <c r="F12" i="2"/>
  <c r="F8" i="2"/>
  <c r="F15" i="2" s="1"/>
  <c r="J3" i="2" s="1"/>
  <c r="J14" i="2" l="1"/>
  <c r="J18" i="2"/>
  <c r="J10" i="2"/>
  <c r="J4" i="2"/>
  <c r="J11" i="2" l="1"/>
  <c r="J12" i="2"/>
  <c r="C6" i="3" s="1"/>
  <c r="D6" i="3" s="1"/>
  <c r="J21" i="2"/>
  <c r="J20" i="2"/>
  <c r="J19" i="2"/>
  <c r="J5" i="2"/>
  <c r="D3" i="3"/>
  <c r="J15" i="2"/>
  <c r="J16" i="2"/>
  <c r="D5" i="3" l="1"/>
  <c r="D4" i="3"/>
</calcChain>
</file>

<file path=xl/sharedStrings.xml><?xml version="1.0" encoding="utf-8"?>
<sst xmlns="http://schemas.openxmlformats.org/spreadsheetml/2006/main" count="645" uniqueCount="238">
  <si>
    <t>Estacas</t>
  </si>
  <si>
    <t>Comprimento</t>
  </si>
  <si>
    <t>Volume Concreto</t>
  </si>
  <si>
    <t>Quantidade</t>
  </si>
  <si>
    <t>Bloco</t>
  </si>
  <si>
    <t>Baldrame</t>
  </si>
  <si>
    <t>Viga subsolo</t>
  </si>
  <si>
    <t>Viga cobertura</t>
  </si>
  <si>
    <t>Parede</t>
  </si>
  <si>
    <t>Altura</t>
  </si>
  <si>
    <t>Abertura</t>
  </si>
  <si>
    <t>Área líquida</t>
  </si>
  <si>
    <t>Área bruta</t>
  </si>
  <si>
    <t>Tijolo</t>
  </si>
  <si>
    <t>ALVENARIA SUPERIOR</t>
  </si>
  <si>
    <t>ALVENARIA INFERIOR</t>
  </si>
  <si>
    <t>Área alvenaria</t>
  </si>
  <si>
    <t>Tijolo 9 x 14 x 19</t>
  </si>
  <si>
    <t>Tijolo 9 x 14 x 19 (+10%)</t>
  </si>
  <si>
    <t>Cimento</t>
  </si>
  <si>
    <t>Areia</t>
  </si>
  <si>
    <r>
      <t xml:space="preserve">Aço CA 60 </t>
    </r>
    <r>
      <rPr>
        <sz val="14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>5,0 mm</t>
    </r>
  </si>
  <si>
    <r>
      <t xml:space="preserve">Aço CA 50 </t>
    </r>
    <r>
      <rPr>
        <sz val="14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>8,0 mm</t>
    </r>
  </si>
  <si>
    <t>Unidade</t>
  </si>
  <si>
    <t>unid.</t>
  </si>
  <si>
    <t>saco 50 kg</t>
  </si>
  <si>
    <t>m</t>
  </si>
  <si>
    <t>m³</t>
  </si>
  <si>
    <t>kg</t>
  </si>
  <si>
    <t>Acabamento</t>
  </si>
  <si>
    <t>Piso tipo 2**</t>
  </si>
  <si>
    <t>m²</t>
  </si>
  <si>
    <t>Azulejo cozinha</t>
  </si>
  <si>
    <t>com 10% de perda</t>
  </si>
  <si>
    <t xml:space="preserve"> + 10% de perda</t>
  </si>
  <si>
    <t>Piso tipo 1* (incl. rodapé)</t>
  </si>
  <si>
    <t>Piso tipo 3** (incl. rodapé)</t>
  </si>
  <si>
    <t>* Copa</t>
  </si>
  <si>
    <t>*** Jardim de inverno, área de serviço, sacada e área da churrasqueira</t>
  </si>
  <si>
    <t>Divisória em dry wall com abertura para porta de 80cm</t>
  </si>
  <si>
    <t>Selador</t>
  </si>
  <si>
    <t xml:space="preserve">Massa corrida </t>
  </si>
  <si>
    <t>Descrição do material</t>
  </si>
  <si>
    <t>Areia fina</t>
  </si>
  <si>
    <t>Areia grossa</t>
  </si>
  <si>
    <t>UNID.</t>
  </si>
  <si>
    <t>Cimento (270 kg para 1m³)</t>
  </si>
  <si>
    <t>Argamassa de assentamento 1:6 (cimento e areia grossa)</t>
  </si>
  <si>
    <t>Cimento (342,1 kg para 1m³)</t>
  </si>
  <si>
    <t>Cimento (181,3 kg para 1m³)</t>
  </si>
  <si>
    <t>Cal (181,3 kg para 1m³)</t>
  </si>
  <si>
    <t>Teto</t>
  </si>
  <si>
    <t>Chapisco alvenaria e teto (1:4)</t>
  </si>
  <si>
    <t>Massa única alvenaria e teto (1:2:9)</t>
  </si>
  <si>
    <t>Brita 02</t>
  </si>
  <si>
    <t>com 15% de perda</t>
  </si>
  <si>
    <t>+15% de perda</t>
  </si>
  <si>
    <t>Tinta PVA ou acrilíca (pintura interna)</t>
  </si>
  <si>
    <t>Tinta texturizada (pintura externa)</t>
  </si>
  <si>
    <t>** Cozinha, lavabo e escada</t>
  </si>
  <si>
    <t>Azulejo lavabo</t>
  </si>
  <si>
    <t>Azulejo para cozinha</t>
  </si>
  <si>
    <t>Azulejo para lavabo</t>
  </si>
  <si>
    <t>*** Calçada abaixo da sacada</t>
  </si>
  <si>
    <t>Piso tipo 4**** (incl. rodapé)</t>
  </si>
  <si>
    <t>Piso tipo 3*** (incl. rodapé)</t>
  </si>
  <si>
    <t>Tinta texturizada (parede externa)</t>
  </si>
  <si>
    <t>Lastro de brita 2</t>
  </si>
  <si>
    <t>Lastro de concreto não estrutural  1:4:6</t>
  </si>
  <si>
    <t>Brita</t>
  </si>
  <si>
    <t>Contrapiso (1:4)</t>
  </si>
  <si>
    <t>PINTURA INTERNA</t>
  </si>
  <si>
    <t>Suíte</t>
  </si>
  <si>
    <t>Copa</t>
  </si>
  <si>
    <t>Área de serviço</t>
  </si>
  <si>
    <t>Escada</t>
  </si>
  <si>
    <t>COBERTURA</t>
  </si>
  <si>
    <t>ACABAMENTO</t>
  </si>
  <si>
    <t>Telha de concreto</t>
  </si>
  <si>
    <t>Cumeeira</t>
  </si>
  <si>
    <t>Calha</t>
  </si>
  <si>
    <t>Condutor</t>
  </si>
  <si>
    <t>ESQUADRIAS</t>
  </si>
  <si>
    <t>Porta de abrir - madeira completa externa 0,80 x 2,1 m</t>
  </si>
  <si>
    <t>Porta de abrir - alumínio completa interna 0,80 x 2,1 m</t>
  </si>
  <si>
    <t>Porta de abrir - madeira completa interna 0,70 x 2,1 m</t>
  </si>
  <si>
    <t>Telha de concreto 42 X 33,4 cm</t>
  </si>
  <si>
    <t>Área cobertura telha de concreto</t>
  </si>
  <si>
    <t xml:space="preserve">Cumeeira </t>
  </si>
  <si>
    <t>Rufo</t>
  </si>
  <si>
    <t>Telha de fibrocimento 6 mm</t>
  </si>
  <si>
    <t>Telha fibrocimento</t>
  </si>
  <si>
    <t>Porta de correr - alumínio e vidro completa 2,00 x 2,1 m**</t>
  </si>
  <si>
    <t>Porta de abrir - alumínio  e vidro completa interna 0,80 x 2,1 m*</t>
  </si>
  <si>
    <t>**01 unidade na cozinha, 01 unidade na suíte e 02 unidades na churrasqueira</t>
  </si>
  <si>
    <t>*Porta para sauna</t>
  </si>
  <si>
    <t>Laje pré-moldada piso</t>
  </si>
  <si>
    <t>Laje pré-moldada forro</t>
  </si>
  <si>
    <t>Manta térmica</t>
  </si>
  <si>
    <t>Manta acústica</t>
  </si>
  <si>
    <t>Esrutura metálica 1*</t>
  </si>
  <si>
    <t>*Treliça metálica apoiada em parede com 2,10 m de comprimeto e 0,42 m de altura</t>
  </si>
  <si>
    <t>Esrutura metálica 2**</t>
  </si>
  <si>
    <t>**Meia treliça metálica apoiada em parede com 0,85 m de comprimeto e 0,34 m de altura</t>
  </si>
  <si>
    <t>Vidro canelado fixo com requadro em alumínio</t>
  </si>
  <si>
    <t>*** Ou tijolo de vidro - entre cozinha e jardim de inverno</t>
  </si>
  <si>
    <t>Janela correr - alumínio e vidro completa 2,00 x 1,00 m</t>
  </si>
  <si>
    <t>Janela basculante - alumínio e vidro completa 0,60 x 0,60 m</t>
  </si>
  <si>
    <t>PINTURA EXTERNA</t>
  </si>
  <si>
    <t>externa</t>
  </si>
  <si>
    <t>Jardim de inverno</t>
  </si>
  <si>
    <t>Pintura interna 3 demão</t>
  </si>
  <si>
    <t>18L</t>
  </si>
  <si>
    <t>3,6L</t>
  </si>
  <si>
    <t>Pintura texturizada</t>
  </si>
  <si>
    <t>26kg</t>
  </si>
  <si>
    <t>lata 18L</t>
  </si>
  <si>
    <t>lata 3,6L</t>
  </si>
  <si>
    <t>Tinta PVA ou acrilíca (paredes internas) - 3 demãos</t>
  </si>
  <si>
    <t>Pintura teto 2 demão</t>
  </si>
  <si>
    <t>Tinta PVA ou acrilíca (teto) - 2 demãos</t>
  </si>
  <si>
    <t>lata 26kg</t>
  </si>
  <si>
    <t>lata 14kg</t>
  </si>
  <si>
    <t>Impermeabilização com pintura - manta líquida</t>
  </si>
  <si>
    <t>IMPERMEABILIZAÇÃO</t>
  </si>
  <si>
    <t>14kg</t>
  </si>
  <si>
    <t>Impermeabilização com manta liquida 2 demão</t>
  </si>
  <si>
    <t>Selador acrílico</t>
  </si>
  <si>
    <t>Selador acrílico 1 demão</t>
  </si>
  <si>
    <t>Massa corrida</t>
  </si>
  <si>
    <t>27kg</t>
  </si>
  <si>
    <t>Dry wall</t>
  </si>
  <si>
    <t>Massa corrida acrílica</t>
  </si>
  <si>
    <t>Gesso teto*****</t>
  </si>
  <si>
    <t>**** Calçada abaixo da sacada</t>
  </si>
  <si>
    <t>***** Gesso em parte da copa e no lavabo</t>
  </si>
  <si>
    <t>Janela basculante - alumínio e vidro completa 0,80 x 2,00 m</t>
  </si>
  <si>
    <t>Ripa  1" x 2" (25 mm x 50 mm)</t>
  </si>
  <si>
    <t>Caibro 2" x 2 3/4" (50 mm x 70 mm)</t>
  </si>
  <si>
    <t>Terça 2 3/8" x 4 3/4" (60 mm x 120 mm)</t>
  </si>
  <si>
    <t>Tabela - Dimensões convencionais dos elementos de uma tesoura para vãos menores que 10 metros</t>
  </si>
  <si>
    <t>Peça da tesoura</t>
  </si>
  <si>
    <t>vão em metros</t>
  </si>
  <si>
    <t>6 m</t>
  </si>
  <si>
    <t>8 m</t>
  </si>
  <si>
    <t>10 m</t>
  </si>
  <si>
    <t>Mão francesa</t>
  </si>
  <si>
    <t>6 x 12</t>
  </si>
  <si>
    <t>6 x16</t>
  </si>
  <si>
    <t>6 x 16</t>
  </si>
  <si>
    <t>Tesoura elementos  2 3/8" x 4 3/4" (60 mm x 120 mm)</t>
  </si>
  <si>
    <t>Tesoura elementos  2 3/8" x 6 3/8" (60 mm x 160 mm)</t>
  </si>
  <si>
    <t>Perna (banzo superior)</t>
  </si>
  <si>
    <t>Linha (banzo inferior)</t>
  </si>
  <si>
    <t>Pendural (montante central)</t>
  </si>
  <si>
    <t>Tirante (montantes)</t>
  </si>
  <si>
    <t>*Banzo</t>
  </si>
  <si>
    <t>* Montantes, diagonais</t>
  </si>
  <si>
    <t>Sauna</t>
  </si>
  <si>
    <t>Área</t>
  </si>
  <si>
    <t>Pilares</t>
  </si>
  <si>
    <t>Forma pilar</t>
  </si>
  <si>
    <t>Perimetro</t>
  </si>
  <si>
    <t>CONCRETO</t>
  </si>
  <si>
    <t>Área (M²)</t>
  </si>
  <si>
    <t>Estaca</t>
  </si>
  <si>
    <t>8 mm</t>
  </si>
  <si>
    <t>10 mm</t>
  </si>
  <si>
    <t>5 mm</t>
  </si>
  <si>
    <t>Pilar 1</t>
  </si>
  <si>
    <t>Pilar 2</t>
  </si>
  <si>
    <t>Viga baldrame</t>
  </si>
  <si>
    <t>AÇO</t>
  </si>
  <si>
    <t>TOTAL</t>
  </si>
  <si>
    <t>TOTAL (m)</t>
  </si>
  <si>
    <t>TOTAL (kg)</t>
  </si>
  <si>
    <t>Pilar 3</t>
  </si>
  <si>
    <t>Bloco 1</t>
  </si>
  <si>
    <t>Bloco 2</t>
  </si>
  <si>
    <r>
      <t xml:space="preserve">Aço CA 50 </t>
    </r>
    <r>
      <rPr>
        <sz val="14"/>
        <color theme="1"/>
        <rFont val="Calibri"/>
        <family val="2"/>
      </rPr>
      <t>ø</t>
    </r>
    <r>
      <rPr>
        <sz val="11"/>
        <color theme="1"/>
        <rFont val="Calibri"/>
        <family val="2"/>
      </rPr>
      <t>10,0</t>
    </r>
    <r>
      <rPr>
        <sz val="11"/>
        <color theme="1"/>
        <rFont val="Calibri"/>
        <family val="2"/>
        <scheme val="minor"/>
      </rPr>
      <t xml:space="preserve"> mm</t>
    </r>
  </si>
  <si>
    <t xml:space="preserve">Areia </t>
  </si>
  <si>
    <t>Concreto</t>
  </si>
  <si>
    <t>QUANTIDADE (COM PERDAS)</t>
  </si>
  <si>
    <t>UNIDADE</t>
  </si>
  <si>
    <t>DESCRIÇÃO DO MATERIAL</t>
  </si>
  <si>
    <t>OBSERVAÇÕES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</si>
  <si>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</si>
  <si>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</si>
  <si>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</si>
  <si>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</si>
  <si>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</si>
  <si>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</si>
  <si>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</si>
  <si>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</si>
  <si>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</si>
  <si>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</si>
  <si>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</si>
  <si>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</si>
  <si>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</si>
  <si>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</si>
  <si>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</si>
  <si>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ITEM</t>
  </si>
  <si>
    <t>1.1</t>
  </si>
  <si>
    <t>4.4</t>
  </si>
  <si>
    <t>3.3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</si>
  <si>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</si>
  <si>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</si>
  <si>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</si>
  <si>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</si>
  <si>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</si>
  <si>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</si>
  <si>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</si>
  <si>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</si>
  <si>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</si>
  <si>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3.1</t>
  </si>
  <si>
    <t>3.2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</si>
  <si>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</si>
  <si>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</si>
  <si>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</si>
  <si>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</si>
  <si>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</si>
  <si>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</si>
  <si>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</si>
  <si>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</si>
  <si>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</si>
  <si>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3.13</t>
  </si>
  <si>
    <t>3.14</t>
  </si>
  <si>
    <t>3.15</t>
  </si>
  <si>
    <t>3.16</t>
  </si>
  <si>
    <t>4.1</t>
  </si>
  <si>
    <t>4.2</t>
  </si>
  <si>
    <t>4.3</t>
  </si>
  <si>
    <t>4.5</t>
  </si>
  <si>
    <t>4.6</t>
  </si>
  <si>
    <t>4.7</t>
  </si>
  <si>
    <t>4.8</t>
  </si>
  <si>
    <t>4.9</t>
  </si>
  <si>
    <t>PREÇO UNITÁRIO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</si>
</sst>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</font>
    <font>
      <i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0" fillId="0" borderId="0" xfId="0" applyNumberFormat="1"/>
    <xf numFmtId="2" fontId="1" fillId="0" borderId="0" xfId="0" applyNumberFormat="1" applyFont="1"/>
    <xf numFmtId="1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4" fontId="0" fillId="0" borderId="0" xfId="0" applyNumberFormat="1"/>
    <xf numFmtId="0" fontId="0" fillId="0" borderId="0" xfId="0" quotePrefix="1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0" xfId="0" applyFont="1" applyBorder="1"/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2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72"/>
  <sheetViews>
    <sheetView tabSelected="1" workbookViewId="0">
      <selection activeCell="F5" sqref="F5"/>
    </sheetView>
  </sheetViews>
  <sheetFormatPr defaultRowHeight="15" x14ac:dyDescent="0.25"/>
  <cols>
    <col min="1" max="1" width="5.7109375" style="42" customWidth="1"/>
    <col min="2" max="2" width="62.85546875" bestFit="1" customWidth="1"/>
    <col min="3" max="3" width="10.85546875" style="1" customWidth="1"/>
    <col min="4" max="4" width="15.28515625" style="3" customWidth="1"/>
    <col min="5" max="5" width="11" customWidth="1"/>
    <col min="7" max="7" width="26.7109375" bestFit="1" customWidth="1"/>
  </cols>
  <sheetData>
    <row r="2" spans="1:6" ht="30" x14ac:dyDescent="0.25">
      <c r="A2" s="41" t="s">
        <v>201</v>
      </c>
      <c r="B2" s="6" t="s">
        <v>184</v>
      </c>
      <c r="C2" s="6" t="s">
        <v>183</v>
      </c>
      <c r="D2" s="40" t="s">
        <v>182</v>
      </c>
      <c r="E2" s="40" t="s">
        <v>237</v>
      </c>
      <c r="F2" s="6" t="s">
        <v>173</v>
      </c>
    </row>
    <row r="3" spans="1:6" x14ac:dyDescent="0.25">
      <c r="A3" s="41">
        <v>1</v>
      </c>
      <c r="B3" s="6"/>
      <c r="C3" s="6"/>
      <c r="D3" s="40"/>
    </row>
    <row r="4" spans="1:6" x14ac:dyDescent="0.25">
      <c r="A4" s="42" t="s">
        <v>202</v>
      </c>
      <c r="B4" t="s">
        <v>13</v>
      </c>
      <c r="C4" s="1" t="s">
        <v>24</v>
      </c>
      <c r="D4" s="3">
        <v>6175</v>
      </c>
      <c r="F4">
        <f>E4*D4</f>
        <v>0</v>
      </c>
    </row>
    <row r="5" spans="1:6" x14ac:dyDescent="0.25">
      <c r="A5" s="42" t="s">
        <v>205</v>
      </c>
      <c r="B5" t="s">
        <v>19</v>
      </c>
      <c r="C5" s="1" t="s">
        <v>25</v>
      </c>
      <c r="D5" s="3">
        <v>198</v>
      </c>
    </row>
    <row r="6" spans="1:6" x14ac:dyDescent="0.25">
      <c r="A6" s="42" t="s">
        <v>206</v>
      </c>
      <c r="B6" t="s">
        <v>43</v>
      </c>
      <c r="C6" s="1" t="s">
        <v>27</v>
      </c>
      <c r="D6" s="3">
        <v>35</v>
      </c>
    </row>
    <row r="7" spans="1:6" x14ac:dyDescent="0.25">
      <c r="A7" s="42" t="s">
        <v>207</v>
      </c>
      <c r="B7" t="s">
        <v>44</v>
      </c>
      <c r="C7" s="1" t="s">
        <v>27</v>
      </c>
      <c r="D7" s="3">
        <v>2.2000000000000002</v>
      </c>
    </row>
    <row r="8" spans="1:6" x14ac:dyDescent="0.25">
      <c r="A8" s="42" t="s">
        <v>208</v>
      </c>
      <c r="B8" t="s">
        <v>69</v>
      </c>
      <c r="C8" s="1" t="s">
        <v>27</v>
      </c>
      <c r="D8" s="3">
        <v>15.5</v>
      </c>
    </row>
    <row r="9" spans="1:6" ht="18.75" x14ac:dyDescent="0.3">
      <c r="A9" s="42" t="s">
        <v>209</v>
      </c>
      <c r="B9" t="s">
        <v>21</v>
      </c>
      <c r="C9" s="1" t="s">
        <v>28</v>
      </c>
      <c r="D9" s="3">
        <v>64</v>
      </c>
    </row>
    <row r="10" spans="1:6" ht="18.75" x14ac:dyDescent="0.3">
      <c r="A10" s="42" t="s">
        <v>210</v>
      </c>
      <c r="B10" t="s">
        <v>22</v>
      </c>
      <c r="C10" s="1" t="s">
        <v>28</v>
      </c>
      <c r="D10" s="3">
        <v>276</v>
      </c>
    </row>
    <row r="11" spans="1:6" ht="18.75" x14ac:dyDescent="0.3">
      <c r="A11" s="42" t="s">
        <v>211</v>
      </c>
      <c r="B11" t="s">
        <v>179</v>
      </c>
      <c r="C11" s="1" t="s">
        <v>28</v>
      </c>
      <c r="D11" s="3">
        <v>498</v>
      </c>
    </row>
    <row r="12" spans="1:6" x14ac:dyDescent="0.25">
      <c r="A12" s="42" t="s">
        <v>212</v>
      </c>
      <c r="B12" t="s">
        <v>96</v>
      </c>
      <c r="C12" s="1" t="s">
        <v>31</v>
      </c>
      <c r="D12" s="3">
        <v>53.7</v>
      </c>
    </row>
    <row r="13" spans="1:6" ht="18.75" customHeight="1" x14ac:dyDescent="0.25">
      <c r="A13" s="42" t="s">
        <v>213</v>
      </c>
      <c r="B13" t="s">
        <v>97</v>
      </c>
      <c r="C13" s="1" t="s">
        <v>31</v>
      </c>
      <c r="D13" s="3">
        <v>58.5</v>
      </c>
    </row>
    <row r="15" spans="1:6" ht="15" customHeight="1" x14ac:dyDescent="0.25">
      <c r="A15" s="41">
        <f>A3+1</f>
        <v>2</v>
      </c>
      <c r="B15" s="10" t="s">
        <v>76</v>
      </c>
    </row>
    <row r="16" spans="1:6" x14ac:dyDescent="0.25">
      <c r="A16" s="42" t="s">
        <v>186</v>
      </c>
      <c r="B16" t="s">
        <v>86</v>
      </c>
      <c r="C16" s="1" t="s">
        <v>24</v>
      </c>
      <c r="D16" s="3">
        <v>950</v>
      </c>
    </row>
    <row r="17" spans="1:4" x14ac:dyDescent="0.25">
      <c r="A17" s="42" t="s">
        <v>187</v>
      </c>
      <c r="B17" t="s">
        <v>79</v>
      </c>
      <c r="C17" s="1" t="s">
        <v>24</v>
      </c>
      <c r="D17" s="3">
        <v>68</v>
      </c>
    </row>
    <row r="18" spans="1:4" x14ac:dyDescent="0.25">
      <c r="A18" s="42" t="s">
        <v>188</v>
      </c>
      <c r="B18" t="s">
        <v>150</v>
      </c>
      <c r="C18" s="1" t="s">
        <v>26</v>
      </c>
      <c r="D18" s="3">
        <v>23</v>
      </c>
    </row>
    <row r="19" spans="1:4" x14ac:dyDescent="0.25">
      <c r="A19" s="42" t="s">
        <v>189</v>
      </c>
      <c r="B19" t="s">
        <v>151</v>
      </c>
      <c r="C19" s="1" t="s">
        <v>26</v>
      </c>
      <c r="D19" s="3">
        <v>79</v>
      </c>
    </row>
    <row r="20" spans="1:4" x14ac:dyDescent="0.25">
      <c r="A20" s="42" t="s">
        <v>190</v>
      </c>
      <c r="B20" t="s">
        <v>139</v>
      </c>
      <c r="C20" s="1" t="s">
        <v>26</v>
      </c>
      <c r="D20" s="3">
        <v>86</v>
      </c>
    </row>
    <row r="21" spans="1:4" x14ac:dyDescent="0.25">
      <c r="A21" s="42" t="s">
        <v>191</v>
      </c>
      <c r="B21" t="s">
        <v>138</v>
      </c>
      <c r="C21" s="1" t="s">
        <v>26</v>
      </c>
      <c r="D21" s="3">
        <v>192</v>
      </c>
    </row>
    <row r="22" spans="1:4" x14ac:dyDescent="0.25">
      <c r="A22" s="42" t="s">
        <v>192</v>
      </c>
      <c r="B22" t="s">
        <v>137</v>
      </c>
      <c r="C22" s="1" t="s">
        <v>26</v>
      </c>
      <c r="D22" s="3">
        <v>283</v>
      </c>
    </row>
    <row r="23" spans="1:4" x14ac:dyDescent="0.25">
      <c r="A23" s="42" t="s">
        <v>193</v>
      </c>
      <c r="B23" t="s">
        <v>90</v>
      </c>
      <c r="C23" s="1" t="s">
        <v>24</v>
      </c>
      <c r="D23" s="3">
        <v>12</v>
      </c>
    </row>
    <row r="24" spans="1:4" x14ac:dyDescent="0.25">
      <c r="A24" s="42" t="s">
        <v>194</v>
      </c>
      <c r="B24" t="s">
        <v>98</v>
      </c>
      <c r="C24" s="1" t="s">
        <v>31</v>
      </c>
      <c r="D24" s="3">
        <v>12.8</v>
      </c>
    </row>
    <row r="25" spans="1:4" x14ac:dyDescent="0.25">
      <c r="A25" s="42" t="s">
        <v>195</v>
      </c>
      <c r="B25" t="s">
        <v>99</v>
      </c>
      <c r="C25" s="1" t="s">
        <v>31</v>
      </c>
      <c r="D25" s="3">
        <v>12.8</v>
      </c>
    </row>
    <row r="26" spans="1:4" x14ac:dyDescent="0.25">
      <c r="A26" s="42" t="s">
        <v>196</v>
      </c>
      <c r="B26" t="s">
        <v>100</v>
      </c>
      <c r="C26" s="1" t="s">
        <v>24</v>
      </c>
      <c r="D26" s="3">
        <v>3</v>
      </c>
    </row>
    <row r="27" spans="1:4" x14ac:dyDescent="0.25">
      <c r="A27" s="42" t="s">
        <v>197</v>
      </c>
      <c r="B27" t="s">
        <v>102</v>
      </c>
      <c r="C27" s="1" t="s">
        <v>24</v>
      </c>
      <c r="D27" s="3">
        <v>1</v>
      </c>
    </row>
    <row r="28" spans="1:4" x14ac:dyDescent="0.25">
      <c r="A28" s="42" t="s">
        <v>198</v>
      </c>
      <c r="B28" t="s">
        <v>80</v>
      </c>
      <c r="C28" s="1" t="s">
        <v>26</v>
      </c>
      <c r="D28" s="3">
        <v>24.5</v>
      </c>
    </row>
    <row r="29" spans="1:4" x14ac:dyDescent="0.25">
      <c r="A29" s="42" t="s">
        <v>199</v>
      </c>
      <c r="B29" t="s">
        <v>81</v>
      </c>
      <c r="C29" s="1" t="s">
        <v>26</v>
      </c>
      <c r="D29" s="3">
        <v>43</v>
      </c>
    </row>
    <row r="30" spans="1:4" x14ac:dyDescent="0.25">
      <c r="A30" s="42" t="s">
        <v>200</v>
      </c>
      <c r="B30" t="s">
        <v>89</v>
      </c>
      <c r="C30" s="1" t="s">
        <v>26</v>
      </c>
      <c r="D30" s="3">
        <v>3.5</v>
      </c>
    </row>
    <row r="31" spans="1:4" x14ac:dyDescent="0.25">
      <c r="B31" s="13" t="s">
        <v>185</v>
      </c>
    </row>
    <row r="32" spans="1:4" ht="25.5" x14ac:dyDescent="0.25">
      <c r="B32" s="13" t="s">
        <v>101</v>
      </c>
    </row>
    <row r="33" spans="1:4" ht="25.5" x14ac:dyDescent="0.25">
      <c r="B33" s="13" t="s">
        <v>103</v>
      </c>
    </row>
    <row r="35" spans="1:4" x14ac:dyDescent="0.25">
      <c r="A35" s="41">
        <f>A15+1</f>
        <v>3</v>
      </c>
      <c r="B35" s="10" t="s">
        <v>77</v>
      </c>
    </row>
    <row r="36" spans="1:4" x14ac:dyDescent="0.25">
      <c r="A36" s="42" t="s">
        <v>214</v>
      </c>
      <c r="B36" t="s">
        <v>35</v>
      </c>
      <c r="C36" s="1" t="s">
        <v>31</v>
      </c>
      <c r="D36" s="3">
        <v>21.2</v>
      </c>
    </row>
    <row r="37" spans="1:4" x14ac:dyDescent="0.25">
      <c r="A37" s="42" t="s">
        <v>215</v>
      </c>
      <c r="B37" t="s">
        <v>30</v>
      </c>
      <c r="C37" s="1" t="s">
        <v>31</v>
      </c>
      <c r="D37" s="3">
        <v>32.200000000000003</v>
      </c>
    </row>
    <row r="38" spans="1:4" x14ac:dyDescent="0.25">
      <c r="A38" s="42" t="s">
        <v>204</v>
      </c>
      <c r="B38" t="s">
        <v>65</v>
      </c>
      <c r="C38" s="1" t="s">
        <v>31</v>
      </c>
      <c r="D38" s="3">
        <v>78.400000000000006</v>
      </c>
    </row>
    <row r="39" spans="1:4" x14ac:dyDescent="0.25">
      <c r="A39" s="42" t="s">
        <v>216</v>
      </c>
      <c r="B39" t="s">
        <v>64</v>
      </c>
      <c r="C39" s="1" t="s">
        <v>31</v>
      </c>
      <c r="D39" s="3">
        <v>18</v>
      </c>
    </row>
    <row r="40" spans="1:4" x14ac:dyDescent="0.25">
      <c r="A40" s="42" t="s">
        <v>217</v>
      </c>
      <c r="B40" t="s">
        <v>61</v>
      </c>
      <c r="C40" s="1" t="s">
        <v>31</v>
      </c>
      <c r="D40" s="3">
        <v>53.5</v>
      </c>
    </row>
    <row r="41" spans="1:4" x14ac:dyDescent="0.25">
      <c r="A41" s="42" t="s">
        <v>218</v>
      </c>
      <c r="B41" t="s">
        <v>62</v>
      </c>
      <c r="C41" s="1" t="s">
        <v>31</v>
      </c>
      <c r="D41" s="3">
        <v>13.7</v>
      </c>
    </row>
    <row r="42" spans="1:4" x14ac:dyDescent="0.25">
      <c r="A42" s="42" t="s">
        <v>219</v>
      </c>
      <c r="B42" t="s">
        <v>39</v>
      </c>
      <c r="C42" s="1" t="s">
        <v>31</v>
      </c>
      <c r="D42" s="3">
        <v>8.4</v>
      </c>
    </row>
    <row r="43" spans="1:4" x14ac:dyDescent="0.25">
      <c r="A43" s="42" t="s">
        <v>220</v>
      </c>
      <c r="B43" t="s">
        <v>133</v>
      </c>
      <c r="C43" s="1" t="s">
        <v>31</v>
      </c>
      <c r="D43" s="3">
        <v>9.9499999999999993</v>
      </c>
    </row>
    <row r="44" spans="1:4" x14ac:dyDescent="0.25">
      <c r="A44" s="42" t="s">
        <v>221</v>
      </c>
      <c r="B44" t="s">
        <v>127</v>
      </c>
      <c r="C44" s="1" t="s">
        <v>116</v>
      </c>
      <c r="D44" s="3">
        <v>4</v>
      </c>
    </row>
    <row r="45" spans="1:4" x14ac:dyDescent="0.25">
      <c r="A45" s="42" t="s">
        <v>222</v>
      </c>
      <c r="B45" t="s">
        <v>127</v>
      </c>
      <c r="C45" s="1" t="s">
        <v>117</v>
      </c>
      <c r="D45" s="3">
        <v>3</v>
      </c>
    </row>
    <row r="46" spans="1:4" x14ac:dyDescent="0.25">
      <c r="A46" s="42" t="s">
        <v>223</v>
      </c>
      <c r="B46" t="s">
        <v>132</v>
      </c>
      <c r="C46" s="1" t="s">
        <v>116</v>
      </c>
      <c r="D46" s="3">
        <v>7</v>
      </c>
    </row>
    <row r="47" spans="1:4" x14ac:dyDescent="0.25">
      <c r="A47" s="42" t="s">
        <v>224</v>
      </c>
      <c r="B47" t="s">
        <v>118</v>
      </c>
      <c r="C47" s="1" t="s">
        <v>116</v>
      </c>
      <c r="D47" s="3">
        <v>2</v>
      </c>
    </row>
    <row r="48" spans="1:4" x14ac:dyDescent="0.25">
      <c r="A48" s="42" t="s">
        <v>225</v>
      </c>
      <c r="B48" t="s">
        <v>118</v>
      </c>
      <c r="C48" s="1" t="s">
        <v>117</v>
      </c>
      <c r="D48" s="3">
        <v>2</v>
      </c>
    </row>
    <row r="49" spans="1:4" x14ac:dyDescent="0.25">
      <c r="A49" s="42" t="s">
        <v>226</v>
      </c>
      <c r="B49" t="s">
        <v>120</v>
      </c>
      <c r="C49" s="1" t="s">
        <v>117</v>
      </c>
      <c r="D49" s="3">
        <v>5</v>
      </c>
    </row>
    <row r="50" spans="1:4" x14ac:dyDescent="0.25">
      <c r="A50" s="42" t="s">
        <v>227</v>
      </c>
      <c r="B50" t="s">
        <v>66</v>
      </c>
      <c r="C50" s="1" t="s">
        <v>121</v>
      </c>
      <c r="D50" s="3">
        <v>13</v>
      </c>
    </row>
    <row r="51" spans="1:4" x14ac:dyDescent="0.25">
      <c r="A51" s="42" t="s">
        <v>228</v>
      </c>
      <c r="B51" t="s">
        <v>123</v>
      </c>
      <c r="C51" s="1" t="s">
        <v>122</v>
      </c>
      <c r="D51" s="3">
        <v>5</v>
      </c>
    </row>
    <row r="52" spans="1:4" x14ac:dyDescent="0.25">
      <c r="B52" s="13" t="s">
        <v>185</v>
      </c>
    </row>
    <row r="53" spans="1:4" x14ac:dyDescent="0.25">
      <c r="B53" s="11" t="s">
        <v>37</v>
      </c>
    </row>
    <row r="54" spans="1:4" x14ac:dyDescent="0.25">
      <c r="B54" s="11" t="s">
        <v>59</v>
      </c>
    </row>
    <row r="55" spans="1:4" x14ac:dyDescent="0.25">
      <c r="B55" s="11" t="s">
        <v>38</v>
      </c>
    </row>
    <row r="56" spans="1:4" x14ac:dyDescent="0.25">
      <c r="B56" s="11" t="s">
        <v>134</v>
      </c>
    </row>
    <row r="57" spans="1:4" x14ac:dyDescent="0.25">
      <c r="B57" s="11" t="s">
        <v>135</v>
      </c>
    </row>
    <row r="58" spans="1:4" x14ac:dyDescent="0.25">
      <c r="B58" s="10"/>
    </row>
    <row r="59" spans="1:4" x14ac:dyDescent="0.25">
      <c r="A59" s="42">
        <f>A35+1</f>
        <v>4</v>
      </c>
      <c r="B59" s="10" t="s">
        <v>82</v>
      </c>
    </row>
    <row r="60" spans="1:4" x14ac:dyDescent="0.25">
      <c r="A60" s="42" t="s">
        <v>229</v>
      </c>
      <c r="B60" t="s">
        <v>83</v>
      </c>
      <c r="C60" s="1" t="s">
        <v>24</v>
      </c>
      <c r="D60" s="3">
        <v>2</v>
      </c>
    </row>
    <row r="61" spans="1:4" x14ac:dyDescent="0.25">
      <c r="A61" s="42" t="s">
        <v>230</v>
      </c>
      <c r="B61" t="s">
        <v>85</v>
      </c>
      <c r="C61" s="1" t="s">
        <v>24</v>
      </c>
      <c r="D61" s="3">
        <v>1</v>
      </c>
    </row>
    <row r="62" spans="1:4" x14ac:dyDescent="0.25">
      <c r="A62" s="42" t="s">
        <v>231</v>
      </c>
      <c r="B62" t="s">
        <v>84</v>
      </c>
      <c r="C62" s="1" t="s">
        <v>24</v>
      </c>
      <c r="D62" s="3">
        <v>2</v>
      </c>
    </row>
    <row r="63" spans="1:4" x14ac:dyDescent="0.25">
      <c r="A63" s="42" t="s">
        <v>203</v>
      </c>
      <c r="B63" t="s">
        <v>93</v>
      </c>
      <c r="C63" s="1" t="s">
        <v>24</v>
      </c>
      <c r="D63" s="3">
        <v>1</v>
      </c>
    </row>
    <row r="64" spans="1:4" x14ac:dyDescent="0.25">
      <c r="A64" s="42" t="s">
        <v>232</v>
      </c>
      <c r="B64" t="s">
        <v>92</v>
      </c>
      <c r="C64" s="1" t="s">
        <v>24</v>
      </c>
      <c r="D64" s="3">
        <v>5</v>
      </c>
    </row>
    <row r="65" spans="1:4" x14ac:dyDescent="0.25">
      <c r="A65" s="42" t="s">
        <v>233</v>
      </c>
      <c r="B65" t="s">
        <v>106</v>
      </c>
      <c r="C65" s="1" t="s">
        <v>24</v>
      </c>
      <c r="D65" s="3">
        <v>4</v>
      </c>
    </row>
    <row r="66" spans="1:4" x14ac:dyDescent="0.25">
      <c r="A66" s="42" t="s">
        <v>234</v>
      </c>
      <c r="B66" t="s">
        <v>104</v>
      </c>
      <c r="C66" s="1" t="s">
        <v>31</v>
      </c>
      <c r="D66" s="3">
        <v>1.5</v>
      </c>
    </row>
    <row r="67" spans="1:4" x14ac:dyDescent="0.25">
      <c r="A67" s="42" t="s">
        <v>235</v>
      </c>
      <c r="B67" t="s">
        <v>107</v>
      </c>
      <c r="C67" s="1" t="s">
        <v>24</v>
      </c>
      <c r="D67" s="3">
        <v>1</v>
      </c>
    </row>
    <row r="68" spans="1:4" x14ac:dyDescent="0.25">
      <c r="A68" s="42" t="s">
        <v>236</v>
      </c>
      <c r="B68" t="s">
        <v>136</v>
      </c>
      <c r="C68" s="1" t="s">
        <v>24</v>
      </c>
      <c r="D68" s="3">
        <v>2</v>
      </c>
    </row>
    <row r="69" spans="1:4" x14ac:dyDescent="0.25">
      <c r="B69" s="13" t="s">
        <v>185</v>
      </c>
    </row>
    <row r="70" spans="1:4" x14ac:dyDescent="0.25">
      <c r="B70" s="11" t="s">
        <v>95</v>
      </c>
    </row>
    <row r="71" spans="1:4" x14ac:dyDescent="0.25">
      <c r="B71" s="11" t="s">
        <v>94</v>
      </c>
    </row>
    <row r="72" spans="1:4" x14ac:dyDescent="0.25">
      <c r="B72" s="11" t="s">
        <v>105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71"/>
  <sheetViews>
    <sheetView topLeftCell="A40" workbookViewId="0">
      <selection activeCell="F59" sqref="F59:F67"/>
    </sheetView>
  </sheetViews>
  <sheetFormatPr defaultRowHeight="15" x14ac:dyDescent="0.25"/>
  <cols>
    <col min="1" max="1" width="62.85546875" bestFit="1" customWidth="1"/>
    <col min="2" max="2" width="10.85546875" customWidth="1"/>
    <col min="3" max="4" width="9.42578125" customWidth="1"/>
    <col min="6" max="6" width="9.140625" style="3"/>
    <col min="9" max="9" width="26.7109375" bestFit="1" customWidth="1"/>
  </cols>
  <sheetData>
    <row r="2" spans="1:6" ht="30" x14ac:dyDescent="0.25">
      <c r="A2" s="6" t="s">
        <v>42</v>
      </c>
      <c r="B2" s="6" t="s">
        <v>23</v>
      </c>
      <c r="C2" s="6"/>
      <c r="D2" s="7" t="s">
        <v>33</v>
      </c>
      <c r="E2" s="7" t="s">
        <v>55</v>
      </c>
      <c r="F2" s="39"/>
    </row>
    <row r="3" spans="1:6" x14ac:dyDescent="0.25">
      <c r="A3" t="s">
        <v>13</v>
      </c>
      <c r="B3" t="s">
        <v>24</v>
      </c>
      <c r="C3" s="5">
        <f>ROUNDUP(Alvenaria!J4,0)</f>
        <v>5614</v>
      </c>
      <c r="D3" s="5">
        <f>ROUND(C3*1.1,0)</f>
        <v>6175</v>
      </c>
      <c r="E3" s="5"/>
      <c r="F3" s="3">
        <v>6175</v>
      </c>
    </row>
    <row r="4" spans="1:6" x14ac:dyDescent="0.25">
      <c r="A4" t="s">
        <v>19</v>
      </c>
      <c r="B4" t="s">
        <v>25</v>
      </c>
      <c r="C4" s="5">
        <f>ROUNDUP((Alvenaria!J11+Alvenaria!J15+Alvenaria!J19+Piso!C5+Piso!C10+Estrutural!C19)/50,0)</f>
        <v>180</v>
      </c>
      <c r="D4" s="5">
        <f>ROUND(C4*1.1,0)</f>
        <v>198</v>
      </c>
      <c r="E4" s="5"/>
      <c r="F4" s="3">
        <v>198</v>
      </c>
    </row>
    <row r="5" spans="1:6" x14ac:dyDescent="0.25">
      <c r="A5" t="s">
        <v>43</v>
      </c>
      <c r="B5" t="s">
        <v>27</v>
      </c>
      <c r="C5" s="3">
        <f>ROUNDUP((Alvenaria!J16+Alvenaria!J21+Piso!C7+Piso!C11+Estrutural!C20),1)</f>
        <v>31.700000000000003</v>
      </c>
      <c r="D5" s="3">
        <f>ROUND(C5*1.1,1)</f>
        <v>34.9</v>
      </c>
      <c r="E5" s="3"/>
      <c r="F5" s="3">
        <v>35</v>
      </c>
    </row>
    <row r="6" spans="1:6" x14ac:dyDescent="0.25">
      <c r="A6" t="s">
        <v>44</v>
      </c>
      <c r="B6" t="s">
        <v>27</v>
      </c>
      <c r="C6" s="3">
        <f>ROUNDUP(Alvenaria!J12,1)</f>
        <v>2</v>
      </c>
      <c r="D6" s="3">
        <f>ROUND(C6*1.1,1)</f>
        <v>2.2000000000000002</v>
      </c>
      <c r="E6" s="3"/>
      <c r="F6" s="3">
        <v>2.2000000000000002</v>
      </c>
    </row>
    <row r="7" spans="1:6" x14ac:dyDescent="0.25">
      <c r="A7" t="s">
        <v>69</v>
      </c>
      <c r="B7" t="s">
        <v>27</v>
      </c>
      <c r="C7" s="3">
        <f>Piso!C2+Piso!C6+Estrutural!C21</f>
        <v>13.861876160000001</v>
      </c>
      <c r="D7" s="3">
        <f>C7*1.1</f>
        <v>15.248063776000002</v>
      </c>
      <c r="E7" s="3"/>
      <c r="F7" s="3">
        <v>15.5</v>
      </c>
    </row>
    <row r="8" spans="1:6" ht="18.75" x14ac:dyDescent="0.3">
      <c r="A8" t="s">
        <v>21</v>
      </c>
      <c r="B8" t="s">
        <v>28</v>
      </c>
      <c r="C8" s="3">
        <f>Estrutural!C37</f>
        <v>58.136540000000004</v>
      </c>
      <c r="D8" s="3">
        <f>C8*1.1</f>
        <v>63.95019400000001</v>
      </c>
      <c r="E8" s="3"/>
      <c r="F8" s="3">
        <v>64</v>
      </c>
    </row>
    <row r="9" spans="1:6" ht="18.75" x14ac:dyDescent="0.3">
      <c r="A9" t="s">
        <v>22</v>
      </c>
      <c r="B9" t="s">
        <v>28</v>
      </c>
      <c r="C9" s="3">
        <f>Estrutural!D37</f>
        <v>250.86450000000008</v>
      </c>
      <c r="D9" s="3">
        <f>C9*1.1</f>
        <v>275.95095000000009</v>
      </c>
      <c r="E9" s="3"/>
      <c r="F9" s="3">
        <v>276</v>
      </c>
    </row>
    <row r="10" spans="1:6" ht="18.75" x14ac:dyDescent="0.3">
      <c r="A10" t="s">
        <v>179</v>
      </c>
      <c r="B10" t="s">
        <v>28</v>
      </c>
      <c r="C10" s="3">
        <f>Estrutural!E37</f>
        <v>451.94632999999999</v>
      </c>
      <c r="D10" s="3">
        <f>C10*1.1</f>
        <v>497.14096300000006</v>
      </c>
      <c r="E10" s="3"/>
      <c r="F10" s="3">
        <v>498</v>
      </c>
    </row>
    <row r="11" spans="1:6" x14ac:dyDescent="0.25">
      <c r="A11" t="s">
        <v>96</v>
      </c>
      <c r="B11" t="s">
        <v>31</v>
      </c>
      <c r="C11" s="3">
        <v>53.7</v>
      </c>
      <c r="D11" s="3"/>
      <c r="E11" s="3"/>
      <c r="F11" s="3">
        <v>53.7</v>
      </c>
    </row>
    <row r="12" spans="1:6" ht="18.75" customHeight="1" x14ac:dyDescent="0.25">
      <c r="A12" t="s">
        <v>97</v>
      </c>
      <c r="B12" t="s">
        <v>31</v>
      </c>
      <c r="C12" s="3">
        <v>58.43</v>
      </c>
      <c r="D12" s="3"/>
      <c r="E12" s="3"/>
      <c r="F12" s="3">
        <v>58.5</v>
      </c>
    </row>
    <row r="13" spans="1:6" x14ac:dyDescent="0.25">
      <c r="C13" s="3"/>
      <c r="D13" s="3"/>
      <c r="E13" s="3"/>
    </row>
    <row r="14" spans="1:6" ht="15" customHeight="1" x14ac:dyDescent="0.25">
      <c r="A14" s="10" t="s">
        <v>76</v>
      </c>
      <c r="C14" s="3"/>
      <c r="D14" s="3"/>
      <c r="E14" s="3"/>
    </row>
    <row r="15" spans="1:6" x14ac:dyDescent="0.25">
      <c r="A15" t="s">
        <v>86</v>
      </c>
      <c r="B15" t="s">
        <v>24</v>
      </c>
      <c r="C15" s="3">
        <f>' Cobertura'!C3</f>
        <v>863.13364799999999</v>
      </c>
      <c r="D15" s="3">
        <f>C15*1.1</f>
        <v>949.44701280000004</v>
      </c>
      <c r="E15" s="3"/>
      <c r="F15" s="3">
        <v>950</v>
      </c>
    </row>
    <row r="16" spans="1:6" x14ac:dyDescent="0.25">
      <c r="A16" t="s">
        <v>79</v>
      </c>
      <c r="B16" t="s">
        <v>24</v>
      </c>
      <c r="C16" s="3">
        <f>' Cobertura'!C5</f>
        <v>61.198811060000004</v>
      </c>
      <c r="D16" s="3">
        <f>C16*1.1</f>
        <v>67.318692166000005</v>
      </c>
      <c r="E16" s="3"/>
      <c r="F16" s="3">
        <v>68</v>
      </c>
    </row>
    <row r="17" spans="1:6" x14ac:dyDescent="0.25">
      <c r="A17" t="s">
        <v>150</v>
      </c>
      <c r="B17" t="s">
        <v>26</v>
      </c>
      <c r="C17" s="3">
        <f>' Cobertura'!C6</f>
        <v>20.68</v>
      </c>
      <c r="D17" s="3">
        <f>C17*1.1</f>
        <v>22.748000000000001</v>
      </c>
      <c r="E17" s="3"/>
      <c r="F17" s="3">
        <v>23</v>
      </c>
    </row>
    <row r="18" spans="1:6" x14ac:dyDescent="0.25">
      <c r="A18" t="s">
        <v>151</v>
      </c>
      <c r="B18" t="s">
        <v>26</v>
      </c>
      <c r="C18" s="3">
        <f>' Cobertura'!C7</f>
        <v>71.169999999999987</v>
      </c>
      <c r="D18" s="3">
        <f>C18*1.1</f>
        <v>78.286999999999992</v>
      </c>
      <c r="E18" s="3"/>
      <c r="F18" s="3">
        <v>79</v>
      </c>
    </row>
    <row r="19" spans="1:6" x14ac:dyDescent="0.25">
      <c r="A19" t="s">
        <v>139</v>
      </c>
      <c r="B19" t="s">
        <v>26</v>
      </c>
      <c r="C19" s="3">
        <f>' Cobertura'!C8</f>
        <v>78.16</v>
      </c>
      <c r="D19" s="3">
        <f>C19*1.1</f>
        <v>85.975999999999999</v>
      </c>
      <c r="E19" s="3"/>
      <c r="F19" s="3">
        <v>86</v>
      </c>
    </row>
    <row r="20" spans="1:6" x14ac:dyDescent="0.25">
      <c r="A20" t="s">
        <v>138</v>
      </c>
      <c r="B20" t="s">
        <v>26</v>
      </c>
      <c r="C20" s="3">
        <f>' Cobertura'!C9</f>
        <v>174.33299999999997</v>
      </c>
      <c r="D20" s="3">
        <f>C20*1.1</f>
        <v>191.76629999999997</v>
      </c>
      <c r="E20" s="3"/>
      <c r="F20" s="3">
        <v>192</v>
      </c>
    </row>
    <row r="21" spans="1:6" x14ac:dyDescent="0.25">
      <c r="A21" t="s">
        <v>137</v>
      </c>
      <c r="B21" t="s">
        <v>26</v>
      </c>
      <c r="C21" s="3">
        <f>' Cobertura'!C10</f>
        <v>257.28022199999998</v>
      </c>
      <c r="D21" s="3">
        <f>C21*1.1</f>
        <v>283.00824419999998</v>
      </c>
      <c r="E21" s="3"/>
      <c r="F21" s="3">
        <v>283</v>
      </c>
    </row>
    <row r="22" spans="1:6" x14ac:dyDescent="0.25">
      <c r="A22" t="s">
        <v>90</v>
      </c>
      <c r="B22" t="s">
        <v>24</v>
      </c>
      <c r="C22" s="3">
        <f>' Cobertura'!C14</f>
        <v>10.471273932253313</v>
      </c>
      <c r="D22" s="3">
        <f>C22*1.1</f>
        <v>11.518401325478646</v>
      </c>
      <c r="E22" s="3"/>
      <c r="F22" s="3">
        <v>12</v>
      </c>
    </row>
    <row r="23" spans="1:6" x14ac:dyDescent="0.25">
      <c r="A23" t="s">
        <v>98</v>
      </c>
      <c r="B23" t="s">
        <v>31</v>
      </c>
      <c r="C23" s="3">
        <f>' Cobertura'!C13</f>
        <v>10.664992499999999</v>
      </c>
      <c r="D23" s="3">
        <f>C23*1.1</f>
        <v>11.73149175</v>
      </c>
      <c r="E23" s="3"/>
      <c r="F23" s="3">
        <v>12.8</v>
      </c>
    </row>
    <row r="24" spans="1:6" x14ac:dyDescent="0.25">
      <c r="A24" t="s">
        <v>99</v>
      </c>
      <c r="B24" t="s">
        <v>31</v>
      </c>
      <c r="C24" s="3">
        <f>' Cobertura'!C13</f>
        <v>10.664992499999999</v>
      </c>
      <c r="D24" s="3">
        <f>C24*1.1</f>
        <v>11.73149175</v>
      </c>
      <c r="E24" s="3"/>
      <c r="F24" s="3">
        <v>12.8</v>
      </c>
    </row>
    <row r="25" spans="1:6" x14ac:dyDescent="0.25">
      <c r="A25" t="s">
        <v>100</v>
      </c>
      <c r="B25" t="s">
        <v>24</v>
      </c>
      <c r="C25" s="3">
        <v>3</v>
      </c>
      <c r="D25" s="3"/>
      <c r="E25" s="3"/>
      <c r="F25" s="3">
        <v>3</v>
      </c>
    </row>
    <row r="26" spans="1:6" x14ac:dyDescent="0.25">
      <c r="A26" t="s">
        <v>102</v>
      </c>
      <c r="B26" t="s">
        <v>24</v>
      </c>
      <c r="C26" s="3">
        <v>1</v>
      </c>
      <c r="D26" s="3"/>
      <c r="E26" s="3"/>
      <c r="F26" s="3">
        <v>1</v>
      </c>
    </row>
    <row r="27" spans="1:6" x14ac:dyDescent="0.25">
      <c r="A27" t="s">
        <v>80</v>
      </c>
      <c r="B27" t="s">
        <v>26</v>
      </c>
      <c r="C27" s="3">
        <f>' Cobertura'!C16</f>
        <v>21.855</v>
      </c>
      <c r="D27" s="3">
        <f>C27*1.1</f>
        <v>24.040500000000002</v>
      </c>
      <c r="E27" s="3"/>
      <c r="F27" s="3">
        <v>24.5</v>
      </c>
    </row>
    <row r="28" spans="1:6" x14ac:dyDescent="0.25">
      <c r="A28" t="s">
        <v>81</v>
      </c>
      <c r="B28" t="s">
        <v>26</v>
      </c>
      <c r="C28" s="3">
        <f>' Cobertura'!C17</f>
        <v>38.5</v>
      </c>
      <c r="D28" s="3">
        <f>C28*1.1</f>
        <v>42.35</v>
      </c>
      <c r="E28" s="3"/>
      <c r="F28" s="3">
        <v>43</v>
      </c>
    </row>
    <row r="29" spans="1:6" x14ac:dyDescent="0.25">
      <c r="A29" t="s">
        <v>89</v>
      </c>
      <c r="B29" t="s">
        <v>26</v>
      </c>
      <c r="C29" s="3">
        <f>' Cobertura'!C18</f>
        <v>3.1663799999999998</v>
      </c>
      <c r="D29" s="3">
        <f>C29*1.1</f>
        <v>3.4830179999999999</v>
      </c>
      <c r="E29" s="3"/>
      <c r="F29" s="3">
        <v>3.5</v>
      </c>
    </row>
    <row r="30" spans="1:6" x14ac:dyDescent="0.25">
      <c r="C30" s="3"/>
      <c r="D30" s="3"/>
      <c r="E30" s="3"/>
    </row>
    <row r="31" spans="1:6" ht="25.5" x14ac:dyDescent="0.25">
      <c r="A31" s="13" t="s">
        <v>101</v>
      </c>
      <c r="C31" s="3"/>
      <c r="D31" s="3"/>
      <c r="E31" s="3"/>
    </row>
    <row r="32" spans="1:6" ht="25.5" x14ac:dyDescent="0.25">
      <c r="A32" s="13" t="s">
        <v>103</v>
      </c>
      <c r="C32" s="3"/>
      <c r="D32" s="3"/>
      <c r="E32" s="3"/>
    </row>
    <row r="33" spans="1:6" x14ac:dyDescent="0.25">
      <c r="C33" s="3"/>
      <c r="D33" s="3"/>
      <c r="E33" s="3"/>
    </row>
    <row r="34" spans="1:6" x14ac:dyDescent="0.25">
      <c r="A34" s="10" t="s">
        <v>77</v>
      </c>
      <c r="C34" s="3"/>
      <c r="D34" s="3"/>
      <c r="E34" s="3"/>
    </row>
    <row r="35" spans="1:6" x14ac:dyDescent="0.25">
      <c r="A35" t="s">
        <v>35</v>
      </c>
      <c r="B35" t="s">
        <v>31</v>
      </c>
      <c r="C35" s="3">
        <f>17.46+((17.7-1-2.2-0.8)*0.07)</f>
        <v>18.419</v>
      </c>
      <c r="D35" s="3"/>
      <c r="E35" s="3">
        <f>C35*1.15</f>
        <v>21.181849999999997</v>
      </c>
      <c r="F35" s="3">
        <v>21.2</v>
      </c>
    </row>
    <row r="36" spans="1:6" x14ac:dyDescent="0.25">
      <c r="A36" t="s">
        <v>30</v>
      </c>
      <c r="B36" t="s">
        <v>31</v>
      </c>
      <c r="C36" s="3">
        <f>Piso!C16</f>
        <v>28.009999999999998</v>
      </c>
      <c r="D36" s="3"/>
      <c r="E36" s="3">
        <f>Piso!E16</f>
        <v>32.211499999999994</v>
      </c>
      <c r="F36" s="3">
        <v>32.200000000000003</v>
      </c>
    </row>
    <row r="37" spans="1:6" x14ac:dyDescent="0.25">
      <c r="A37" t="s">
        <v>65</v>
      </c>
      <c r="B37" t="s">
        <v>31</v>
      </c>
      <c r="C37" s="3">
        <f>Piso!C17</f>
        <v>68.172299999999993</v>
      </c>
      <c r="D37" s="3"/>
      <c r="E37" s="3">
        <f>Piso!E17</f>
        <v>78.398144999999985</v>
      </c>
      <c r="F37" s="3">
        <v>78.400000000000006</v>
      </c>
    </row>
    <row r="38" spans="1:6" x14ac:dyDescent="0.25">
      <c r="A38" t="s">
        <v>64</v>
      </c>
      <c r="B38" t="s">
        <v>31</v>
      </c>
      <c r="C38" s="3">
        <f>Piso!C18</f>
        <v>15.661</v>
      </c>
      <c r="D38" s="3"/>
      <c r="E38" s="3">
        <f>Piso!E18</f>
        <v>18.010149999999999</v>
      </c>
      <c r="F38" s="3">
        <v>18</v>
      </c>
    </row>
    <row r="39" spans="1:6" x14ac:dyDescent="0.25">
      <c r="A39" t="s">
        <v>61</v>
      </c>
      <c r="B39" t="s">
        <v>31</v>
      </c>
      <c r="C39" s="3">
        <f>Piso!C19</f>
        <v>46.3</v>
      </c>
      <c r="D39" s="3"/>
      <c r="E39" s="3">
        <f>Piso!E19</f>
        <v>53.24499999999999</v>
      </c>
      <c r="F39" s="3">
        <v>53.5</v>
      </c>
    </row>
    <row r="40" spans="1:6" x14ac:dyDescent="0.25">
      <c r="A40" t="s">
        <v>62</v>
      </c>
      <c r="B40" t="s">
        <v>31</v>
      </c>
      <c r="C40" s="3">
        <f>Piso!C20</f>
        <v>11.84</v>
      </c>
      <c r="D40" s="3"/>
      <c r="E40" s="3">
        <f>Piso!E20</f>
        <v>13.616</v>
      </c>
      <c r="F40" s="3">
        <v>13.7</v>
      </c>
    </row>
    <row r="41" spans="1:6" x14ac:dyDescent="0.25">
      <c r="A41" t="s">
        <v>39</v>
      </c>
      <c r="B41" t="s">
        <v>31</v>
      </c>
      <c r="C41" s="3">
        <f>Piso!C21</f>
        <v>8.4</v>
      </c>
      <c r="D41" s="3"/>
      <c r="E41" s="3"/>
      <c r="F41" s="3">
        <v>8.4</v>
      </c>
    </row>
    <row r="42" spans="1:6" x14ac:dyDescent="0.25">
      <c r="A42" t="s">
        <v>133</v>
      </c>
      <c r="B42" t="s">
        <v>31</v>
      </c>
      <c r="C42" s="3">
        <v>9.9499999999999993</v>
      </c>
      <c r="D42" s="3"/>
      <c r="E42" s="3"/>
      <c r="F42" s="3">
        <v>9.9499999999999993</v>
      </c>
    </row>
    <row r="43" spans="1:6" x14ac:dyDescent="0.25">
      <c r="A43" t="s">
        <v>127</v>
      </c>
      <c r="B43" t="s">
        <v>116</v>
      </c>
      <c r="C43">
        <f>Alvenaria!J32</f>
        <v>4.1386833333333337</v>
      </c>
      <c r="D43">
        <f>C43*1.1</f>
        <v>4.5525516666666679</v>
      </c>
      <c r="F43" s="3">
        <v>4</v>
      </c>
    </row>
    <row r="44" spans="1:6" x14ac:dyDescent="0.25">
      <c r="A44" t="s">
        <v>127</v>
      </c>
      <c r="B44" t="s">
        <v>117</v>
      </c>
      <c r="F44" s="3">
        <v>3</v>
      </c>
    </row>
    <row r="45" spans="1:6" x14ac:dyDescent="0.25">
      <c r="A45" t="s">
        <v>132</v>
      </c>
      <c r="B45" t="s">
        <v>116</v>
      </c>
      <c r="C45">
        <f>Alvenaria!J33</f>
        <v>6.7568399999999995</v>
      </c>
      <c r="F45" s="3">
        <v>7</v>
      </c>
    </row>
    <row r="46" spans="1:6" x14ac:dyDescent="0.25">
      <c r="A46" t="s">
        <v>118</v>
      </c>
      <c r="B46" t="s">
        <v>116</v>
      </c>
      <c r="C46">
        <f>Alvenaria!J28</f>
        <v>2.1429272727272721</v>
      </c>
      <c r="D46">
        <f>C46*1.1</f>
        <v>2.3572199999999994</v>
      </c>
      <c r="F46" s="3">
        <v>2</v>
      </c>
    </row>
    <row r="47" spans="1:6" x14ac:dyDescent="0.25">
      <c r="A47" t="s">
        <v>118</v>
      </c>
      <c r="B47" t="s">
        <v>117</v>
      </c>
      <c r="F47" s="3">
        <v>2</v>
      </c>
    </row>
    <row r="48" spans="1:6" x14ac:dyDescent="0.25">
      <c r="A48" t="s">
        <v>120</v>
      </c>
      <c r="B48" t="s">
        <v>117</v>
      </c>
      <c r="C48">
        <f>Alvenaria!J29</f>
        <v>4.0848000000000004</v>
      </c>
      <c r="D48">
        <f>C48*1.1</f>
        <v>4.4932800000000013</v>
      </c>
      <c r="F48" s="3">
        <v>5</v>
      </c>
    </row>
    <row r="49" spans="1:6" x14ac:dyDescent="0.25">
      <c r="A49" t="s">
        <v>66</v>
      </c>
      <c r="B49" t="s">
        <v>121</v>
      </c>
      <c r="C49">
        <f>Alvenaria!J30</f>
        <v>11.342857142857143</v>
      </c>
      <c r="D49">
        <f>C49*1.1</f>
        <v>12.477142857142859</v>
      </c>
      <c r="F49" s="3">
        <v>13</v>
      </c>
    </row>
    <row r="50" spans="1:6" x14ac:dyDescent="0.25">
      <c r="A50" t="s">
        <v>123</v>
      </c>
      <c r="B50" t="s">
        <v>122</v>
      </c>
      <c r="C50">
        <f>Alvenaria!J31</f>
        <v>5.016</v>
      </c>
      <c r="F50" s="3">
        <v>5</v>
      </c>
    </row>
    <row r="52" spans="1:6" x14ac:dyDescent="0.25">
      <c r="A52" s="11" t="s">
        <v>37</v>
      </c>
    </row>
    <row r="53" spans="1:6" x14ac:dyDescent="0.25">
      <c r="A53" s="11" t="s">
        <v>59</v>
      </c>
    </row>
    <row r="54" spans="1:6" x14ac:dyDescent="0.25">
      <c r="A54" s="11" t="s">
        <v>38</v>
      </c>
    </row>
    <row r="55" spans="1:6" x14ac:dyDescent="0.25">
      <c r="A55" s="11" t="s">
        <v>134</v>
      </c>
    </row>
    <row r="56" spans="1:6" x14ac:dyDescent="0.25">
      <c r="A56" s="11" t="s">
        <v>135</v>
      </c>
    </row>
    <row r="57" spans="1:6" x14ac:dyDescent="0.25">
      <c r="A57" s="10"/>
    </row>
    <row r="58" spans="1:6" x14ac:dyDescent="0.25">
      <c r="A58" s="10" t="s">
        <v>82</v>
      </c>
    </row>
    <row r="59" spans="1:6" x14ac:dyDescent="0.25">
      <c r="A59" t="s">
        <v>83</v>
      </c>
      <c r="B59" t="s">
        <v>24</v>
      </c>
      <c r="C59" s="3">
        <v>2</v>
      </c>
      <c r="F59" s="3">
        <v>2</v>
      </c>
    </row>
    <row r="60" spans="1:6" x14ac:dyDescent="0.25">
      <c r="A60" t="s">
        <v>85</v>
      </c>
      <c r="B60" t="s">
        <v>24</v>
      </c>
      <c r="C60" s="3">
        <v>1</v>
      </c>
      <c r="F60" s="3">
        <v>1</v>
      </c>
    </row>
    <row r="61" spans="1:6" x14ac:dyDescent="0.25">
      <c r="A61" t="s">
        <v>84</v>
      </c>
      <c r="B61" t="s">
        <v>24</v>
      </c>
      <c r="C61" s="3">
        <v>2</v>
      </c>
      <c r="F61" s="3">
        <v>2</v>
      </c>
    </row>
    <row r="62" spans="1:6" x14ac:dyDescent="0.25">
      <c r="A62" t="s">
        <v>93</v>
      </c>
      <c r="B62" t="s">
        <v>24</v>
      </c>
      <c r="C62" s="3">
        <v>1</v>
      </c>
      <c r="F62" s="3">
        <v>1</v>
      </c>
    </row>
    <row r="63" spans="1:6" x14ac:dyDescent="0.25">
      <c r="A63" t="s">
        <v>92</v>
      </c>
      <c r="B63" t="s">
        <v>24</v>
      </c>
      <c r="C63" s="3">
        <v>5</v>
      </c>
      <c r="F63" s="3">
        <v>5</v>
      </c>
    </row>
    <row r="64" spans="1:6" x14ac:dyDescent="0.25">
      <c r="A64" t="s">
        <v>106</v>
      </c>
      <c r="B64" t="s">
        <v>24</v>
      </c>
      <c r="C64" s="3">
        <v>4</v>
      </c>
      <c r="F64" s="3">
        <v>4</v>
      </c>
    </row>
    <row r="65" spans="1:6" x14ac:dyDescent="0.25">
      <c r="A65" t="s">
        <v>104</v>
      </c>
      <c r="B65" t="s">
        <v>31</v>
      </c>
      <c r="C65" s="3">
        <v>1.5</v>
      </c>
      <c r="F65" s="3">
        <v>1.5</v>
      </c>
    </row>
    <row r="66" spans="1:6" x14ac:dyDescent="0.25">
      <c r="A66" t="s">
        <v>107</v>
      </c>
      <c r="B66" t="s">
        <v>24</v>
      </c>
      <c r="C66" s="3">
        <v>1</v>
      </c>
      <c r="F66" s="3">
        <v>1</v>
      </c>
    </row>
    <row r="67" spans="1:6" x14ac:dyDescent="0.25">
      <c r="A67" t="s">
        <v>136</v>
      </c>
      <c r="B67" t="s">
        <v>24</v>
      </c>
      <c r="C67" s="3">
        <v>2</v>
      </c>
      <c r="F67" s="3">
        <v>2</v>
      </c>
    </row>
    <row r="69" spans="1:6" x14ac:dyDescent="0.25">
      <c r="A69" s="11" t="s">
        <v>95</v>
      </c>
    </row>
    <row r="70" spans="1:6" x14ac:dyDescent="0.25">
      <c r="A70" s="11" t="s">
        <v>94</v>
      </c>
    </row>
    <row r="71" spans="1:6" x14ac:dyDescent="0.25">
      <c r="A71" s="11" t="s">
        <v>105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69"/>
  <sheetViews>
    <sheetView workbookViewId="0">
      <selection activeCell="D11" sqref="D11"/>
    </sheetView>
  </sheetViews>
  <sheetFormatPr defaultRowHeight="15" x14ac:dyDescent="0.25"/>
  <cols>
    <col min="1" max="1" width="62.85546875" bestFit="1" customWidth="1"/>
    <col min="2" max="2" width="10.85546875" customWidth="1"/>
    <col min="3" max="4" width="9.42578125" customWidth="1"/>
    <col min="9" max="9" width="26.7109375" bestFit="1" customWidth="1"/>
  </cols>
  <sheetData>
    <row r="2" spans="1:6" ht="30" x14ac:dyDescent="0.25">
      <c r="A2" s="2" t="s">
        <v>42</v>
      </c>
      <c r="B2" s="2" t="s">
        <v>23</v>
      </c>
      <c r="C2" s="2"/>
      <c r="D2" s="7" t="s">
        <v>33</v>
      </c>
      <c r="E2" s="7" t="s">
        <v>55</v>
      </c>
      <c r="F2" s="2"/>
    </row>
    <row r="3" spans="1:6" x14ac:dyDescent="0.25">
      <c r="A3" t="s">
        <v>13</v>
      </c>
      <c r="B3" t="s">
        <v>24</v>
      </c>
      <c r="C3" s="5">
        <f>ROUNDUP(Alvenaria!J4,0)</f>
        <v>5614</v>
      </c>
      <c r="D3" s="5">
        <f>ROUND(C3*1.1,0)</f>
        <v>6175</v>
      </c>
      <c r="E3" s="5"/>
    </row>
    <row r="4" spans="1:6" x14ac:dyDescent="0.25">
      <c r="A4" t="s">
        <v>19</v>
      </c>
      <c r="B4" t="s">
        <v>25</v>
      </c>
      <c r="C4" s="5">
        <f>ROUNDUP((Alvenaria!J11+Alvenaria!J15+Alvenaria!J19+Piso!C5+Piso!C10+Estrutural!C19)/50,0)</f>
        <v>180</v>
      </c>
      <c r="D4" s="5">
        <f>ROUND(C4*1.1,0)</f>
        <v>198</v>
      </c>
      <c r="E4" s="5"/>
    </row>
    <row r="5" spans="1:6" x14ac:dyDescent="0.25">
      <c r="A5" t="s">
        <v>43</v>
      </c>
      <c r="B5" t="s">
        <v>27</v>
      </c>
      <c r="C5" s="3">
        <f>ROUNDUP((Alvenaria!J16+Alvenaria!J21+Piso!C7+Piso!C11+Estrutural!C20),1)</f>
        <v>31.700000000000003</v>
      </c>
      <c r="D5" s="3">
        <f>ROUND(C5*1.1,1)</f>
        <v>34.9</v>
      </c>
      <c r="E5" s="3"/>
    </row>
    <row r="6" spans="1:6" x14ac:dyDescent="0.25">
      <c r="A6" t="s">
        <v>44</v>
      </c>
      <c r="B6" t="s">
        <v>27</v>
      </c>
      <c r="C6" s="3">
        <f>ROUNDUP(Alvenaria!J12,1)</f>
        <v>2</v>
      </c>
      <c r="D6" s="3">
        <f>ROUND(C6*1.1,1)</f>
        <v>2.2000000000000002</v>
      </c>
      <c r="E6" s="3"/>
    </row>
    <row r="7" spans="1:6" x14ac:dyDescent="0.25">
      <c r="A7" t="s">
        <v>69</v>
      </c>
      <c r="B7" t="s">
        <v>27</v>
      </c>
      <c r="C7" s="3">
        <f>Piso!C2+Piso!C6+Estrutural!C21</f>
        <v>13.861876160000001</v>
      </c>
      <c r="D7" s="3">
        <f>C7*1.1</f>
        <v>15.248063776000002</v>
      </c>
      <c r="E7" s="3"/>
    </row>
    <row r="8" spans="1:6" ht="18.75" x14ac:dyDescent="0.3">
      <c r="A8" t="s">
        <v>21</v>
      </c>
      <c r="B8" t="s">
        <v>28</v>
      </c>
      <c r="C8" s="3">
        <f>Estrutural!C37</f>
        <v>58.136540000000004</v>
      </c>
      <c r="D8" s="3">
        <f>C8*1.1</f>
        <v>63.95019400000001</v>
      </c>
      <c r="E8" s="3"/>
    </row>
    <row r="9" spans="1:6" ht="18.75" x14ac:dyDescent="0.3">
      <c r="A9" t="s">
        <v>22</v>
      </c>
      <c r="B9" t="s">
        <v>28</v>
      </c>
      <c r="C9" s="3">
        <f>Estrutural!D37</f>
        <v>250.86450000000008</v>
      </c>
      <c r="D9" s="3">
        <f>C9*1.1</f>
        <v>275.95095000000009</v>
      </c>
      <c r="E9" s="3"/>
    </row>
    <row r="10" spans="1:6" ht="18.75" x14ac:dyDescent="0.3">
      <c r="A10" t="s">
        <v>179</v>
      </c>
      <c r="B10" t="s">
        <v>28</v>
      </c>
      <c r="C10" s="3">
        <f>Estrutural!E37</f>
        <v>451.94632999999999</v>
      </c>
      <c r="D10" s="3">
        <f>C10*1.1</f>
        <v>497.14096300000006</v>
      </c>
      <c r="E10" s="3"/>
    </row>
    <row r="11" spans="1:6" x14ac:dyDescent="0.25">
      <c r="A11" t="s">
        <v>96</v>
      </c>
      <c r="B11" t="s">
        <v>31</v>
      </c>
      <c r="C11" s="3">
        <v>53.7</v>
      </c>
      <c r="D11" s="3"/>
      <c r="E11" s="3"/>
    </row>
    <row r="12" spans="1:6" ht="18.75" customHeight="1" x14ac:dyDescent="0.25">
      <c r="A12" t="s">
        <v>97</v>
      </c>
      <c r="B12" t="s">
        <v>31</v>
      </c>
      <c r="C12" s="3">
        <v>58.43</v>
      </c>
      <c r="D12" s="3"/>
      <c r="E12" s="3"/>
    </row>
    <row r="13" spans="1:6" x14ac:dyDescent="0.25">
      <c r="C13" s="3"/>
      <c r="D13" s="3"/>
      <c r="E13" s="3"/>
    </row>
    <row r="14" spans="1:6" ht="15" customHeight="1" x14ac:dyDescent="0.25">
      <c r="A14" s="10" t="s">
        <v>76</v>
      </c>
      <c r="C14" s="3"/>
      <c r="D14" s="3"/>
      <c r="E14" s="3"/>
    </row>
    <row r="15" spans="1:6" x14ac:dyDescent="0.25">
      <c r="A15" t="s">
        <v>86</v>
      </c>
      <c r="B15" t="s">
        <v>24</v>
      </c>
      <c r="C15" s="3">
        <f>' Cobertura'!C3</f>
        <v>863.13364799999999</v>
      </c>
      <c r="D15" s="3">
        <f>C15*1.1</f>
        <v>949.44701280000004</v>
      </c>
      <c r="E15" s="3"/>
    </row>
    <row r="16" spans="1:6" x14ac:dyDescent="0.25">
      <c r="A16" t="s">
        <v>79</v>
      </c>
      <c r="B16" t="s">
        <v>24</v>
      </c>
      <c r="C16" s="3">
        <f>' Cobertura'!C5</f>
        <v>61.198811060000004</v>
      </c>
      <c r="D16" s="3">
        <f>C16*1.1</f>
        <v>67.318692166000005</v>
      </c>
      <c r="E16" s="3"/>
    </row>
    <row r="17" spans="1:5" x14ac:dyDescent="0.25">
      <c r="A17" t="s">
        <v>150</v>
      </c>
      <c r="B17" t="s">
        <v>26</v>
      </c>
      <c r="C17" s="3">
        <f>' Cobertura'!C6</f>
        <v>20.68</v>
      </c>
      <c r="D17" s="3">
        <f>C17*1.1</f>
        <v>22.748000000000001</v>
      </c>
      <c r="E17" s="3"/>
    </row>
    <row r="18" spans="1:5" x14ac:dyDescent="0.25">
      <c r="A18" t="s">
        <v>151</v>
      </c>
      <c r="B18" t="s">
        <v>26</v>
      </c>
      <c r="C18" s="3">
        <f>' Cobertura'!C7</f>
        <v>71.169999999999987</v>
      </c>
      <c r="D18" s="3">
        <f>C18*1.1</f>
        <v>78.286999999999992</v>
      </c>
      <c r="E18" s="3"/>
    </row>
    <row r="19" spans="1:5" x14ac:dyDescent="0.25">
      <c r="A19" t="s">
        <v>139</v>
      </c>
      <c r="B19" t="s">
        <v>26</v>
      </c>
      <c r="C19" s="3">
        <f>' Cobertura'!C8</f>
        <v>78.16</v>
      </c>
      <c r="D19" s="3">
        <f>C19*1.1</f>
        <v>85.975999999999999</v>
      </c>
      <c r="E19" s="3"/>
    </row>
    <row r="20" spans="1:5" x14ac:dyDescent="0.25">
      <c r="A20" t="s">
        <v>138</v>
      </c>
      <c r="B20" t="s">
        <v>26</v>
      </c>
      <c r="C20" s="3">
        <f>' Cobertura'!C9</f>
        <v>174.33299999999997</v>
      </c>
      <c r="D20" s="3">
        <f>C20*1.1</f>
        <v>191.76629999999997</v>
      </c>
      <c r="E20" s="3"/>
    </row>
    <row r="21" spans="1:5" x14ac:dyDescent="0.25">
      <c r="A21" t="s">
        <v>137</v>
      </c>
      <c r="B21" t="s">
        <v>26</v>
      </c>
      <c r="C21" s="3">
        <f>' Cobertura'!C10</f>
        <v>257.28022199999998</v>
      </c>
      <c r="D21" s="3">
        <f>C21*1.1</f>
        <v>283.00824419999998</v>
      </c>
      <c r="E21" s="3"/>
    </row>
    <row r="22" spans="1:5" x14ac:dyDescent="0.25">
      <c r="A22" t="s">
        <v>90</v>
      </c>
      <c r="B22" t="s">
        <v>24</v>
      </c>
      <c r="C22" s="3">
        <f>' Cobertura'!C14</f>
        <v>10.471273932253313</v>
      </c>
      <c r="D22" s="3">
        <f>C22*1.1</f>
        <v>11.518401325478646</v>
      </c>
      <c r="E22" s="3"/>
    </row>
    <row r="23" spans="1:5" x14ac:dyDescent="0.25">
      <c r="A23" t="s">
        <v>98</v>
      </c>
      <c r="B23" t="s">
        <v>31</v>
      </c>
      <c r="C23" s="3">
        <f>' Cobertura'!C13</f>
        <v>10.664992499999999</v>
      </c>
      <c r="D23" s="3">
        <f>C23*1.1</f>
        <v>11.73149175</v>
      </c>
      <c r="E23" s="3"/>
    </row>
    <row r="24" spans="1:5" x14ac:dyDescent="0.25">
      <c r="A24" t="s">
        <v>99</v>
      </c>
      <c r="B24" t="s">
        <v>31</v>
      </c>
      <c r="C24" s="3">
        <f>' Cobertura'!C13</f>
        <v>10.664992499999999</v>
      </c>
      <c r="D24" s="3">
        <f>C24*1.1</f>
        <v>11.73149175</v>
      </c>
      <c r="E24" s="3"/>
    </row>
    <row r="25" spans="1:5" x14ac:dyDescent="0.25">
      <c r="A25" t="s">
        <v>100</v>
      </c>
      <c r="B25" t="s">
        <v>24</v>
      </c>
      <c r="C25" s="3">
        <v>3</v>
      </c>
      <c r="D25" s="3"/>
      <c r="E25" s="3"/>
    </row>
    <row r="26" spans="1:5" x14ac:dyDescent="0.25">
      <c r="A26" t="s">
        <v>102</v>
      </c>
      <c r="B26" t="s">
        <v>24</v>
      </c>
      <c r="C26" s="3">
        <v>1</v>
      </c>
      <c r="D26" s="3"/>
      <c r="E26" s="3"/>
    </row>
    <row r="27" spans="1:5" x14ac:dyDescent="0.25">
      <c r="A27" t="s">
        <v>80</v>
      </c>
      <c r="B27" t="s">
        <v>26</v>
      </c>
      <c r="C27" s="3">
        <f>' Cobertura'!C16</f>
        <v>21.855</v>
      </c>
      <c r="D27" s="3">
        <f>C27*1.1</f>
        <v>24.040500000000002</v>
      </c>
      <c r="E27" s="3"/>
    </row>
    <row r="28" spans="1:5" x14ac:dyDescent="0.25">
      <c r="A28" t="s">
        <v>81</v>
      </c>
      <c r="B28" t="s">
        <v>26</v>
      </c>
      <c r="C28" s="3">
        <f>' Cobertura'!C17</f>
        <v>38.5</v>
      </c>
      <c r="D28" s="3">
        <f>C28*1.1</f>
        <v>42.35</v>
      </c>
      <c r="E28" s="3"/>
    </row>
    <row r="29" spans="1:5" x14ac:dyDescent="0.25">
      <c r="A29" t="s">
        <v>89</v>
      </c>
      <c r="B29" t="s">
        <v>26</v>
      </c>
      <c r="C29" s="3">
        <f>' Cobertura'!C18</f>
        <v>3.1663799999999998</v>
      </c>
      <c r="D29" s="3">
        <f>C29*1.1</f>
        <v>3.4830179999999999</v>
      </c>
      <c r="E29" s="3"/>
    </row>
    <row r="30" spans="1:5" x14ac:dyDescent="0.25">
      <c r="C30" s="3"/>
      <c r="D30" s="3"/>
      <c r="E30" s="3"/>
    </row>
    <row r="31" spans="1:5" ht="25.5" x14ac:dyDescent="0.25">
      <c r="A31" s="13" t="s">
        <v>101</v>
      </c>
      <c r="C31" s="3"/>
      <c r="D31" s="3"/>
      <c r="E31" s="3"/>
    </row>
    <row r="32" spans="1:5" ht="25.5" x14ac:dyDescent="0.25">
      <c r="A32" s="13" t="s">
        <v>103</v>
      </c>
      <c r="C32" s="3"/>
      <c r="D32" s="3"/>
      <c r="E32" s="3"/>
    </row>
    <row r="33" spans="1:5" x14ac:dyDescent="0.25">
      <c r="C33" s="3"/>
      <c r="D33" s="3"/>
      <c r="E33" s="3"/>
    </row>
    <row r="34" spans="1:5" x14ac:dyDescent="0.25">
      <c r="A34" s="10" t="s">
        <v>77</v>
      </c>
      <c r="C34" s="3"/>
      <c r="D34" s="3"/>
      <c r="E34" s="3"/>
    </row>
    <row r="35" spans="1:5" x14ac:dyDescent="0.25">
      <c r="A35" t="s">
        <v>35</v>
      </c>
      <c r="B35" t="s">
        <v>31</v>
      </c>
      <c r="C35" s="3">
        <f>17.46+((17.7-1-2.2-0.8)*0.07)</f>
        <v>18.419</v>
      </c>
      <c r="D35" s="3"/>
      <c r="E35" s="3">
        <f>C35*1.15</f>
        <v>21.181849999999997</v>
      </c>
    </row>
    <row r="36" spans="1:5" x14ac:dyDescent="0.25">
      <c r="A36" t="s">
        <v>30</v>
      </c>
      <c r="B36" t="s">
        <v>31</v>
      </c>
      <c r="C36" s="3">
        <f>Piso!C16</f>
        <v>28.009999999999998</v>
      </c>
      <c r="D36" s="3"/>
      <c r="E36" s="3">
        <f>Piso!E16</f>
        <v>32.211499999999994</v>
      </c>
    </row>
    <row r="37" spans="1:5" x14ac:dyDescent="0.25">
      <c r="A37" t="s">
        <v>65</v>
      </c>
      <c r="B37" t="s">
        <v>31</v>
      </c>
      <c r="C37" s="3">
        <f>Piso!C17</f>
        <v>68.172299999999993</v>
      </c>
      <c r="D37" s="3"/>
      <c r="E37" s="3">
        <f>Piso!E17</f>
        <v>78.398144999999985</v>
      </c>
    </row>
    <row r="38" spans="1:5" x14ac:dyDescent="0.25">
      <c r="A38" t="s">
        <v>64</v>
      </c>
      <c r="B38" t="s">
        <v>31</v>
      </c>
      <c r="C38" s="3">
        <f>Piso!C18</f>
        <v>15.661</v>
      </c>
      <c r="D38" s="3"/>
      <c r="E38" s="3">
        <f>Piso!E18</f>
        <v>18.010149999999999</v>
      </c>
    </row>
    <row r="39" spans="1:5" x14ac:dyDescent="0.25">
      <c r="A39" t="s">
        <v>61</v>
      </c>
      <c r="B39" t="s">
        <v>31</v>
      </c>
      <c r="C39" s="3">
        <f>Piso!C19</f>
        <v>46.3</v>
      </c>
      <c r="D39" s="3"/>
      <c r="E39" s="3">
        <f>Piso!E19</f>
        <v>53.24499999999999</v>
      </c>
    </row>
    <row r="40" spans="1:5" x14ac:dyDescent="0.25">
      <c r="A40" t="s">
        <v>62</v>
      </c>
      <c r="B40" t="s">
        <v>31</v>
      </c>
      <c r="C40" s="3">
        <f>Piso!C20</f>
        <v>11.84</v>
      </c>
      <c r="D40" s="3"/>
      <c r="E40" s="3">
        <f>Piso!E20</f>
        <v>13.616</v>
      </c>
    </row>
    <row r="41" spans="1:5" x14ac:dyDescent="0.25">
      <c r="A41" t="s">
        <v>39</v>
      </c>
      <c r="B41" t="s">
        <v>31</v>
      </c>
      <c r="C41" s="3">
        <f>Piso!C21</f>
        <v>8.4</v>
      </c>
      <c r="D41" s="3"/>
      <c r="E41" s="3"/>
    </row>
    <row r="42" spans="1:5" x14ac:dyDescent="0.25">
      <c r="A42" t="s">
        <v>133</v>
      </c>
      <c r="B42" t="s">
        <v>31</v>
      </c>
      <c r="C42" s="3">
        <v>9.9499999999999993</v>
      </c>
      <c r="D42" s="3"/>
      <c r="E42" s="3"/>
    </row>
    <row r="43" spans="1:5" x14ac:dyDescent="0.25">
      <c r="A43" t="s">
        <v>127</v>
      </c>
      <c r="B43" t="s">
        <v>116</v>
      </c>
      <c r="C43">
        <f>Alvenaria!J32</f>
        <v>4.1386833333333337</v>
      </c>
    </row>
    <row r="44" spans="1:5" x14ac:dyDescent="0.25">
      <c r="A44" t="s">
        <v>132</v>
      </c>
      <c r="B44" t="s">
        <v>116</v>
      </c>
      <c r="C44">
        <f>Alvenaria!J33</f>
        <v>6.7568399999999995</v>
      </c>
    </row>
    <row r="45" spans="1:5" x14ac:dyDescent="0.25">
      <c r="A45" t="s">
        <v>118</v>
      </c>
      <c r="B45" t="s">
        <v>116</v>
      </c>
      <c r="C45">
        <f>Alvenaria!J28</f>
        <v>2.1429272727272721</v>
      </c>
      <c r="D45">
        <f>C45*1.1</f>
        <v>2.3572199999999994</v>
      </c>
    </row>
    <row r="46" spans="1:5" x14ac:dyDescent="0.25">
      <c r="A46" t="s">
        <v>120</v>
      </c>
      <c r="B46" t="s">
        <v>117</v>
      </c>
      <c r="C46">
        <f>Alvenaria!J29</f>
        <v>4.0848000000000004</v>
      </c>
      <c r="D46">
        <f>C46*1.1</f>
        <v>4.4932800000000013</v>
      </c>
    </row>
    <row r="47" spans="1:5" x14ac:dyDescent="0.25">
      <c r="A47" t="s">
        <v>66</v>
      </c>
      <c r="B47" t="s">
        <v>121</v>
      </c>
      <c r="C47">
        <f>Alvenaria!J30</f>
        <v>11.342857142857143</v>
      </c>
      <c r="D47">
        <f>C47*1.1</f>
        <v>12.477142857142859</v>
      </c>
    </row>
    <row r="48" spans="1:5" x14ac:dyDescent="0.25">
      <c r="A48" t="s">
        <v>123</v>
      </c>
      <c r="B48" t="s">
        <v>122</v>
      </c>
      <c r="C48">
        <f>Alvenaria!J31</f>
        <v>5.016</v>
      </c>
    </row>
    <row r="50" spans="1:3" x14ac:dyDescent="0.25">
      <c r="A50" s="11" t="s">
        <v>37</v>
      </c>
    </row>
    <row r="51" spans="1:3" x14ac:dyDescent="0.25">
      <c r="A51" s="11" t="s">
        <v>59</v>
      </c>
    </row>
    <row r="52" spans="1:3" x14ac:dyDescent="0.25">
      <c r="A52" s="11" t="s">
        <v>38</v>
      </c>
    </row>
    <row r="53" spans="1:3" x14ac:dyDescent="0.25">
      <c r="A53" s="11" t="s">
        <v>134</v>
      </c>
    </row>
    <row r="54" spans="1:3" x14ac:dyDescent="0.25">
      <c r="A54" s="11" t="s">
        <v>135</v>
      </c>
    </row>
    <row r="55" spans="1:3" x14ac:dyDescent="0.25">
      <c r="A55" s="10"/>
    </row>
    <row r="56" spans="1:3" x14ac:dyDescent="0.25">
      <c r="A56" s="10" t="s">
        <v>82</v>
      </c>
    </row>
    <row r="57" spans="1:3" x14ac:dyDescent="0.25">
      <c r="A57" t="s">
        <v>83</v>
      </c>
      <c r="B57" t="s">
        <v>24</v>
      </c>
      <c r="C57" s="3">
        <v>2</v>
      </c>
    </row>
    <row r="58" spans="1:3" x14ac:dyDescent="0.25">
      <c r="A58" t="s">
        <v>85</v>
      </c>
      <c r="B58" t="s">
        <v>24</v>
      </c>
      <c r="C58" s="3">
        <v>1</v>
      </c>
    </row>
    <row r="59" spans="1:3" x14ac:dyDescent="0.25">
      <c r="A59" t="s">
        <v>84</v>
      </c>
      <c r="B59" t="s">
        <v>24</v>
      </c>
      <c r="C59" s="3">
        <v>2</v>
      </c>
    </row>
    <row r="60" spans="1:3" x14ac:dyDescent="0.25">
      <c r="A60" t="s">
        <v>93</v>
      </c>
      <c r="B60" t="s">
        <v>24</v>
      </c>
      <c r="C60" s="3">
        <v>1</v>
      </c>
    </row>
    <row r="61" spans="1:3" x14ac:dyDescent="0.25">
      <c r="A61" t="s">
        <v>92</v>
      </c>
      <c r="B61" t="s">
        <v>24</v>
      </c>
      <c r="C61" s="3">
        <v>5</v>
      </c>
    </row>
    <row r="62" spans="1:3" x14ac:dyDescent="0.25">
      <c r="A62" t="s">
        <v>106</v>
      </c>
      <c r="B62" t="s">
        <v>24</v>
      </c>
      <c r="C62" s="3">
        <v>4</v>
      </c>
    </row>
    <row r="63" spans="1:3" x14ac:dyDescent="0.25">
      <c r="A63" t="s">
        <v>104</v>
      </c>
      <c r="B63" t="s">
        <v>31</v>
      </c>
      <c r="C63" s="3">
        <v>1.5</v>
      </c>
    </row>
    <row r="64" spans="1:3" x14ac:dyDescent="0.25">
      <c r="A64" t="s">
        <v>107</v>
      </c>
      <c r="B64" t="s">
        <v>24</v>
      </c>
      <c r="C64" s="3">
        <v>1</v>
      </c>
    </row>
    <row r="65" spans="1:3" x14ac:dyDescent="0.25">
      <c r="A65" t="s">
        <v>136</v>
      </c>
      <c r="B65" t="s">
        <v>24</v>
      </c>
      <c r="C65" s="3">
        <v>2</v>
      </c>
    </row>
    <row r="67" spans="1:3" x14ac:dyDescent="0.25">
      <c r="A67" s="11" t="s">
        <v>95</v>
      </c>
    </row>
    <row r="68" spans="1:3" x14ac:dyDescent="0.25">
      <c r="A68" s="11" t="s">
        <v>94</v>
      </c>
    </row>
    <row r="69" spans="1:3" x14ac:dyDescent="0.25">
      <c r="A69" s="11" t="s">
        <v>105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selection activeCell="C7" sqref="C7"/>
    </sheetView>
  </sheetViews>
  <sheetFormatPr defaultRowHeight="15" x14ac:dyDescent="0.25"/>
  <cols>
    <col min="1" max="1" width="48.7109375" bestFit="1" customWidth="1"/>
    <col min="7" max="7" width="26.7109375" bestFit="1" customWidth="1"/>
  </cols>
  <sheetData>
    <row r="1" spans="1:10" x14ac:dyDescent="0.25">
      <c r="G1" s="20" t="s">
        <v>140</v>
      </c>
      <c r="H1" s="20"/>
      <c r="I1" s="20"/>
      <c r="J1" s="20"/>
    </row>
    <row r="2" spans="1:10" x14ac:dyDescent="0.25">
      <c r="A2" t="s">
        <v>87</v>
      </c>
      <c r="B2" t="s">
        <v>31</v>
      </c>
      <c r="C2">
        <f>77.06*1.077</f>
        <v>82.993619999999993</v>
      </c>
      <c r="G2" s="23" t="s">
        <v>141</v>
      </c>
      <c r="H2" s="22" t="s">
        <v>142</v>
      </c>
      <c r="I2" s="22"/>
      <c r="J2" s="22"/>
    </row>
    <row r="3" spans="1:10" x14ac:dyDescent="0.25">
      <c r="A3" t="s">
        <v>78</v>
      </c>
      <c r="B3" t="s">
        <v>24</v>
      </c>
      <c r="C3">
        <f>10.4*C2</f>
        <v>863.13364799999999</v>
      </c>
      <c r="G3" s="24"/>
      <c r="H3" s="21" t="s">
        <v>143</v>
      </c>
      <c r="I3" s="21" t="s">
        <v>144</v>
      </c>
      <c r="J3" s="21" t="s">
        <v>145</v>
      </c>
    </row>
    <row r="4" spans="1:10" x14ac:dyDescent="0.25">
      <c r="A4" t="s">
        <v>88</v>
      </c>
      <c r="B4" t="s">
        <v>26</v>
      </c>
      <c r="C4">
        <f>4.2426*3+5.91+1.37+2.86*2+1.2</f>
        <v>26.927800000000001</v>
      </c>
      <c r="G4" s="21" t="s">
        <v>153</v>
      </c>
      <c r="H4" s="21" t="s">
        <v>147</v>
      </c>
      <c r="I4" s="21" t="s">
        <v>149</v>
      </c>
      <c r="J4" s="21" t="s">
        <v>149</v>
      </c>
    </row>
    <row r="5" spans="1:10" x14ac:dyDescent="0.25">
      <c r="A5" t="s">
        <v>88</v>
      </c>
      <c r="B5" t="s">
        <v>24</v>
      </c>
      <c r="C5">
        <f>2.2727*C4</f>
        <v>61.198811060000004</v>
      </c>
      <c r="G5" s="21" t="s">
        <v>152</v>
      </c>
      <c r="H5" s="21" t="s">
        <v>148</v>
      </c>
      <c r="I5" s="21" t="s">
        <v>148</v>
      </c>
      <c r="J5" s="21" t="s">
        <v>148</v>
      </c>
    </row>
    <row r="6" spans="1:10" x14ac:dyDescent="0.25">
      <c r="A6" t="s">
        <v>150</v>
      </c>
      <c r="B6" t="s">
        <v>26</v>
      </c>
      <c r="C6">
        <f>1.22*4+0.65*4+1.65*2*4</f>
        <v>20.68</v>
      </c>
      <c r="D6" t="s">
        <v>157</v>
      </c>
      <c r="G6" s="21" t="s">
        <v>146</v>
      </c>
      <c r="H6" s="21" t="s">
        <v>147</v>
      </c>
      <c r="I6" s="21" t="s">
        <v>147</v>
      </c>
      <c r="J6" s="21" t="s">
        <v>147</v>
      </c>
    </row>
    <row r="7" spans="1:10" x14ac:dyDescent="0.25">
      <c r="A7" t="s">
        <v>151</v>
      </c>
      <c r="B7" t="s">
        <v>26</v>
      </c>
      <c r="C7">
        <f>12.67*4+3.28*3+2.13*5</f>
        <v>71.169999999999987</v>
      </c>
      <c r="D7" t="s">
        <v>156</v>
      </c>
      <c r="G7" s="21" t="s">
        <v>154</v>
      </c>
      <c r="H7" s="21" t="s">
        <v>147</v>
      </c>
      <c r="I7" s="21" t="s">
        <v>147</v>
      </c>
      <c r="J7" s="21" t="s">
        <v>147</v>
      </c>
    </row>
    <row r="8" spans="1:10" x14ac:dyDescent="0.25">
      <c r="A8" t="s">
        <v>139</v>
      </c>
      <c r="B8" t="s">
        <v>26</v>
      </c>
      <c r="C8">
        <f>11.91+8.86+5.81+7.86+7.5+5.81+6.1+3.5+7.2+4.2+4.05+2.03+1.11*3</f>
        <v>78.16</v>
      </c>
      <c r="G8" s="21" t="s">
        <v>155</v>
      </c>
      <c r="H8" s="21" t="s">
        <v>147</v>
      </c>
      <c r="I8" s="21" t="s">
        <v>147</v>
      </c>
      <c r="J8" s="21" t="s">
        <v>147</v>
      </c>
    </row>
    <row r="9" spans="1:10" x14ac:dyDescent="0.25">
      <c r="A9" t="s">
        <v>138</v>
      </c>
      <c r="B9" t="s">
        <v>26</v>
      </c>
      <c r="C9">
        <f>(11.9/0.5*3.3*2)+(2.13*8.1)</f>
        <v>174.33299999999997</v>
      </c>
    </row>
    <row r="10" spans="1:10" x14ac:dyDescent="0.25">
      <c r="A10" t="s">
        <v>137</v>
      </c>
      <c r="B10" t="s">
        <v>26</v>
      </c>
      <c r="C10">
        <f>C2*3.1</f>
        <v>257.28022199999998</v>
      </c>
    </row>
    <row r="13" spans="1:10" x14ac:dyDescent="0.25">
      <c r="A13" t="s">
        <v>91</v>
      </c>
      <c r="B13" t="s">
        <v>31</v>
      </c>
      <c r="C13">
        <f>9.9025*1.077</f>
        <v>10.664992499999999</v>
      </c>
    </row>
    <row r="14" spans="1:10" x14ac:dyDescent="0.25">
      <c r="A14" t="s">
        <v>91</v>
      </c>
      <c r="B14" t="s">
        <v>24</v>
      </c>
      <c r="C14">
        <f>C13/(0.97*1.05)</f>
        <v>10.471273932253313</v>
      </c>
    </row>
    <row r="16" spans="1:10" x14ac:dyDescent="0.25">
      <c r="A16" t="s">
        <v>80</v>
      </c>
      <c r="B16" t="s">
        <v>26</v>
      </c>
      <c r="C16" s="3">
        <f>11-1.895+2.45+0.8+4.25+5.25</f>
        <v>21.855</v>
      </c>
    </row>
    <row r="17" spans="1:3" x14ac:dyDescent="0.25">
      <c r="A17" t="s">
        <v>81</v>
      </c>
      <c r="B17" t="s">
        <v>26</v>
      </c>
      <c r="C17" s="3">
        <f>5.5*7</f>
        <v>38.5</v>
      </c>
    </row>
    <row r="18" spans="1:3" x14ac:dyDescent="0.25">
      <c r="A18" t="s">
        <v>89</v>
      </c>
      <c r="B18" t="s">
        <v>26</v>
      </c>
      <c r="C18" s="3">
        <f>2.94*1.077</f>
        <v>3.1663799999999998</v>
      </c>
    </row>
  </sheetData>
  <mergeCells count="3">
    <mergeCell ref="H2:J2"/>
    <mergeCell ref="G1:J1"/>
    <mergeCell ref="G2:G3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1"/>
  <sheetViews>
    <sheetView workbookViewId="0">
      <selection activeCell="C18" sqref="C18"/>
    </sheetView>
  </sheetViews>
  <sheetFormatPr defaultRowHeight="15" x14ac:dyDescent="0.25"/>
  <cols>
    <col min="1" max="1" width="63.28515625" bestFit="1" customWidth="1"/>
    <col min="2" max="2" width="9.7109375" bestFit="1" customWidth="1"/>
  </cols>
  <sheetData>
    <row r="2" spans="1:5" ht="14.25" customHeight="1" x14ac:dyDescent="0.25">
      <c r="A2" t="s">
        <v>67</v>
      </c>
      <c r="B2" t="s">
        <v>27</v>
      </c>
      <c r="C2">
        <f>57.53*0.03</f>
        <v>1.7259</v>
      </c>
    </row>
    <row r="3" spans="1:5" ht="14.25" customHeight="1" x14ac:dyDescent="0.25"/>
    <row r="4" spans="1:5" x14ac:dyDescent="0.25">
      <c r="A4" t="s">
        <v>68</v>
      </c>
      <c r="B4" t="s">
        <v>27</v>
      </c>
      <c r="C4">
        <f>57.53*0.05</f>
        <v>2.8765000000000001</v>
      </c>
    </row>
    <row r="5" spans="1:5" x14ac:dyDescent="0.25">
      <c r="A5" t="s">
        <v>19</v>
      </c>
      <c r="B5" t="s">
        <v>28</v>
      </c>
      <c r="C5">
        <f>(222*C4)</f>
        <v>638.58299999999997</v>
      </c>
    </row>
    <row r="6" spans="1:5" x14ac:dyDescent="0.25">
      <c r="A6" t="s">
        <v>54</v>
      </c>
      <c r="B6" t="s">
        <v>27</v>
      </c>
      <c r="C6">
        <f>0.952*C4</f>
        <v>2.7384279999999999</v>
      </c>
    </row>
    <row r="7" spans="1:5" x14ac:dyDescent="0.25">
      <c r="A7" t="s">
        <v>20</v>
      </c>
      <c r="B7" t="s">
        <v>27</v>
      </c>
      <c r="C7">
        <f>0.7703*C4</f>
        <v>2.21576795</v>
      </c>
    </row>
    <row r="9" spans="1:5" x14ac:dyDescent="0.25">
      <c r="A9" t="s">
        <v>70</v>
      </c>
      <c r="B9" t="s">
        <v>27</v>
      </c>
      <c r="C9">
        <f>(57.53+17.41+22.31+7.51+6.82+7.5)*0.02</f>
        <v>2.3816000000000002</v>
      </c>
    </row>
    <row r="10" spans="1:5" x14ac:dyDescent="0.25">
      <c r="A10" t="s">
        <v>19</v>
      </c>
      <c r="B10" t="s">
        <v>28</v>
      </c>
      <c r="C10">
        <f>C9*342.1</f>
        <v>814.74536000000012</v>
      </c>
    </row>
    <row r="11" spans="1:5" x14ac:dyDescent="0.25">
      <c r="A11" t="s">
        <v>20</v>
      </c>
      <c r="B11" t="s">
        <v>27</v>
      </c>
      <c r="C11">
        <f>C9*1.294</f>
        <v>3.0817904000000005</v>
      </c>
    </row>
    <row r="13" spans="1:5" x14ac:dyDescent="0.25">
      <c r="D13" t="s">
        <v>34</v>
      </c>
      <c r="E13" s="9" t="s">
        <v>56</v>
      </c>
    </row>
    <row r="14" spans="1:5" x14ac:dyDescent="0.25">
      <c r="A14" t="s">
        <v>29</v>
      </c>
    </row>
    <row r="15" spans="1:5" x14ac:dyDescent="0.25">
      <c r="A15" t="s">
        <v>35</v>
      </c>
      <c r="B15" t="s">
        <v>31</v>
      </c>
      <c r="C15">
        <f>17.46+((17.7-1-2.2-0.8)*0.07)</f>
        <v>18.419</v>
      </c>
      <c r="E15">
        <f t="shared" ref="E15:E20" si="0">C15*1.15</f>
        <v>21.181849999999997</v>
      </c>
    </row>
    <row r="16" spans="1:5" x14ac:dyDescent="0.25">
      <c r="A16" t="s">
        <v>30</v>
      </c>
      <c r="B16" t="s">
        <v>31</v>
      </c>
      <c r="C16">
        <f>4.2+22.31+1.5</f>
        <v>28.009999999999998</v>
      </c>
      <c r="E16">
        <f t="shared" si="0"/>
        <v>32.211499999999994</v>
      </c>
    </row>
    <row r="17" spans="1:5" x14ac:dyDescent="0.25">
      <c r="A17" t="s">
        <v>36</v>
      </c>
      <c r="B17" t="s">
        <v>31</v>
      </c>
      <c r="C17">
        <f>6.82+7.51+19.57+31.2+((8.55+0.95+15.45+10.49+8.45)*0.07)</f>
        <v>68.172299999999993</v>
      </c>
      <c r="E17">
        <f t="shared" si="0"/>
        <v>78.398144999999985</v>
      </c>
    </row>
    <row r="18" spans="1:5" x14ac:dyDescent="0.25">
      <c r="A18" t="s">
        <v>64</v>
      </c>
      <c r="B18" t="s">
        <v>31</v>
      </c>
      <c r="C18">
        <f>14.94+(10.3*0.07)</f>
        <v>15.661</v>
      </c>
      <c r="E18">
        <f t="shared" si="0"/>
        <v>18.010149999999999</v>
      </c>
    </row>
    <row r="19" spans="1:5" x14ac:dyDescent="0.25">
      <c r="A19" t="s">
        <v>32</v>
      </c>
      <c r="B19" t="s">
        <v>31</v>
      </c>
      <c r="C19">
        <f>(20.1*2.8)-(2*2.1)-(0.8*2.1)-(2)-(2.1)</f>
        <v>46.3</v>
      </c>
      <c r="E19">
        <f t="shared" si="0"/>
        <v>53.24499999999999</v>
      </c>
    </row>
    <row r="20" spans="1:5" x14ac:dyDescent="0.25">
      <c r="A20" t="s">
        <v>60</v>
      </c>
      <c r="B20" t="s">
        <v>31</v>
      </c>
      <c r="C20">
        <f>(5*2.8)-(0.8*2.1)-(0.8*0.6)</f>
        <v>11.84</v>
      </c>
      <c r="E20">
        <f t="shared" si="0"/>
        <v>13.616</v>
      </c>
    </row>
    <row r="21" spans="1:5" x14ac:dyDescent="0.25">
      <c r="A21" t="s">
        <v>39</v>
      </c>
      <c r="B21" t="s">
        <v>31</v>
      </c>
      <c r="C21">
        <f>3.6*2.8-0.8*2.1</f>
        <v>8.4</v>
      </c>
    </row>
    <row r="22" spans="1:5" x14ac:dyDescent="0.25">
      <c r="A22" t="s">
        <v>40</v>
      </c>
    </row>
    <row r="23" spans="1:5" x14ac:dyDescent="0.25">
      <c r="A23" t="s">
        <v>41</v>
      </c>
    </row>
    <row r="24" spans="1:5" x14ac:dyDescent="0.25">
      <c r="A24" t="s">
        <v>57</v>
      </c>
    </row>
    <row r="25" spans="1:5" x14ac:dyDescent="0.25">
      <c r="A25" t="s">
        <v>58</v>
      </c>
    </row>
    <row r="28" spans="1:5" x14ac:dyDescent="0.25">
      <c r="A28" t="s">
        <v>37</v>
      </c>
    </row>
    <row r="29" spans="1:5" x14ac:dyDescent="0.25">
      <c r="A29" t="s">
        <v>59</v>
      </c>
    </row>
    <row r="30" spans="1:5" x14ac:dyDescent="0.25">
      <c r="A30" t="s">
        <v>38</v>
      </c>
    </row>
    <row r="31" spans="1:5" x14ac:dyDescent="0.25">
      <c r="A31" t="s">
        <v>63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0"/>
  <sheetViews>
    <sheetView topLeftCell="A22" workbookViewId="0">
      <selection activeCell="F50" sqref="F50"/>
    </sheetView>
  </sheetViews>
  <sheetFormatPr defaultRowHeight="15" x14ac:dyDescent="0.25"/>
  <cols>
    <col min="1" max="1" width="17" bestFit="1" customWidth="1"/>
    <col min="2" max="2" width="13.42578125" bestFit="1" customWidth="1"/>
    <col min="5" max="5" width="10.28515625" bestFit="1" customWidth="1"/>
    <col min="6" max="6" width="11.5703125" bestFit="1" customWidth="1"/>
    <col min="8" max="8" width="52.140625" bestFit="1" customWidth="1"/>
    <col min="9" max="9" width="8.140625" customWidth="1"/>
  </cols>
  <sheetData>
    <row r="2" spans="1:10" x14ac:dyDescent="0.25">
      <c r="A2" s="12" t="s">
        <v>14</v>
      </c>
      <c r="B2" s="12"/>
      <c r="C2" s="12"/>
      <c r="D2" s="12"/>
      <c r="E2" s="12"/>
      <c r="F2" s="12"/>
      <c r="I2" t="s">
        <v>45</v>
      </c>
    </row>
    <row r="3" spans="1:10" x14ac:dyDescent="0.25">
      <c r="A3" t="s">
        <v>8</v>
      </c>
      <c r="B3" t="s">
        <v>1</v>
      </c>
      <c r="C3" t="s">
        <v>9</v>
      </c>
      <c r="D3" t="s">
        <v>10</v>
      </c>
      <c r="E3" t="s">
        <v>12</v>
      </c>
      <c r="F3" t="s">
        <v>11</v>
      </c>
      <c r="H3" t="s">
        <v>16</v>
      </c>
      <c r="I3" t="s">
        <v>31</v>
      </c>
      <c r="J3" s="8">
        <f>F15+F25</f>
        <v>168.42000000000002</v>
      </c>
    </row>
    <row r="4" spans="1:10" x14ac:dyDescent="0.25">
      <c r="A4">
        <v>1</v>
      </c>
      <c r="B4" s="3">
        <v>7.7</v>
      </c>
      <c r="C4" s="3">
        <v>2.8</v>
      </c>
      <c r="D4" s="3">
        <f>2+(2.1*2)</f>
        <v>6.2</v>
      </c>
      <c r="E4" s="3">
        <f>B4*C4</f>
        <v>21.56</v>
      </c>
      <c r="F4" s="3">
        <f>E4-D4</f>
        <v>15.36</v>
      </c>
      <c r="H4" t="s">
        <v>17</v>
      </c>
      <c r="I4" t="s">
        <v>45</v>
      </c>
      <c r="J4" s="8">
        <f>J3*33.33</f>
        <v>5613.4386000000004</v>
      </c>
    </row>
    <row r="5" spans="1:10" x14ac:dyDescent="0.25">
      <c r="A5">
        <v>2</v>
      </c>
      <c r="B5" s="3">
        <v>2.15</v>
      </c>
      <c r="C5" s="3">
        <v>2.8</v>
      </c>
      <c r="D5" s="3"/>
      <c r="E5" s="3">
        <f t="shared" ref="E5:E14" si="0">B5*C5</f>
        <v>6.02</v>
      </c>
      <c r="F5" s="3">
        <f t="shared" ref="F5:F14" si="1">E5-D5</f>
        <v>6.02</v>
      </c>
      <c r="H5" t="s">
        <v>18</v>
      </c>
      <c r="I5" t="s">
        <v>45</v>
      </c>
      <c r="J5" s="8">
        <f>J4*1.1</f>
        <v>6174.7824600000013</v>
      </c>
    </row>
    <row r="6" spans="1:10" x14ac:dyDescent="0.25">
      <c r="A6">
        <v>3</v>
      </c>
      <c r="B6" s="3">
        <v>6.55</v>
      </c>
      <c r="C6" s="3">
        <v>2.8</v>
      </c>
      <c r="D6" s="3">
        <f>2.1*2+2.8</f>
        <v>7</v>
      </c>
      <c r="E6" s="3">
        <f t="shared" si="0"/>
        <v>18.34</v>
      </c>
      <c r="F6" s="3">
        <f t="shared" si="1"/>
        <v>11.34</v>
      </c>
      <c r="J6" s="8"/>
    </row>
    <row r="7" spans="1:10" x14ac:dyDescent="0.25">
      <c r="A7">
        <v>4</v>
      </c>
      <c r="B7" s="3">
        <v>1</v>
      </c>
      <c r="C7" s="3">
        <v>2.8</v>
      </c>
      <c r="D7" s="3"/>
      <c r="E7" s="3">
        <f t="shared" si="0"/>
        <v>2.8</v>
      </c>
      <c r="F7" s="3">
        <f t="shared" si="1"/>
        <v>2.8</v>
      </c>
      <c r="H7" t="s">
        <v>51</v>
      </c>
      <c r="I7" t="s">
        <v>31</v>
      </c>
      <c r="J7">
        <f>35.59+22.31+7.51+17.41</f>
        <v>82.820000000000007</v>
      </c>
    </row>
    <row r="8" spans="1:10" x14ac:dyDescent="0.25">
      <c r="A8">
        <v>5</v>
      </c>
      <c r="B8" s="3">
        <v>3.6</v>
      </c>
      <c r="C8" s="3">
        <v>2.8</v>
      </c>
      <c r="D8">
        <f>2*2.1</f>
        <v>4.2</v>
      </c>
      <c r="E8" s="3">
        <f t="shared" si="0"/>
        <v>10.08</v>
      </c>
      <c r="F8" s="3">
        <f t="shared" si="1"/>
        <v>5.88</v>
      </c>
    </row>
    <row r="9" spans="1:10" x14ac:dyDescent="0.25">
      <c r="A9">
        <v>6</v>
      </c>
      <c r="B9" s="3">
        <v>3.5</v>
      </c>
      <c r="C9" s="3">
        <v>2.8</v>
      </c>
      <c r="D9" s="3"/>
      <c r="E9" s="3">
        <f t="shared" si="0"/>
        <v>9.7999999999999989</v>
      </c>
      <c r="F9" s="3">
        <f t="shared" si="1"/>
        <v>9.7999999999999989</v>
      </c>
    </row>
    <row r="10" spans="1:10" x14ac:dyDescent="0.25">
      <c r="A10">
        <v>7</v>
      </c>
      <c r="B10" s="3">
        <v>5.55</v>
      </c>
      <c r="C10" s="3">
        <v>2.8</v>
      </c>
      <c r="E10" s="3">
        <f t="shared" si="0"/>
        <v>15.54</v>
      </c>
      <c r="F10" s="3">
        <f t="shared" si="1"/>
        <v>15.54</v>
      </c>
      <c r="H10" t="s">
        <v>47</v>
      </c>
      <c r="I10" t="s">
        <v>27</v>
      </c>
      <c r="J10" s="8">
        <f>0.01*J3</f>
        <v>1.6842000000000001</v>
      </c>
    </row>
    <row r="11" spans="1:10" x14ac:dyDescent="0.25">
      <c r="A11">
        <v>8</v>
      </c>
      <c r="B11" s="3">
        <v>2.9</v>
      </c>
      <c r="C11" s="3">
        <v>2.8</v>
      </c>
      <c r="E11" s="3">
        <f t="shared" si="0"/>
        <v>8.1199999999999992</v>
      </c>
      <c r="F11" s="3">
        <f>E11-D11</f>
        <v>8.1199999999999992</v>
      </c>
      <c r="H11" t="s">
        <v>46</v>
      </c>
      <c r="I11" t="s">
        <v>28</v>
      </c>
      <c r="J11" s="8">
        <f>J10*230</f>
        <v>387.36600000000004</v>
      </c>
    </row>
    <row r="12" spans="1:10" x14ac:dyDescent="0.25">
      <c r="A12">
        <v>9</v>
      </c>
      <c r="B12" s="3">
        <v>3.95</v>
      </c>
      <c r="C12" s="3">
        <v>2.8</v>
      </c>
      <c r="D12">
        <f>0.55*2.8*2</f>
        <v>3.08</v>
      </c>
      <c r="E12" s="3">
        <f t="shared" si="0"/>
        <v>11.06</v>
      </c>
      <c r="F12" s="3">
        <f>E12-D12</f>
        <v>7.98</v>
      </c>
      <c r="H12" t="s">
        <v>44</v>
      </c>
      <c r="I12" t="s">
        <v>27</v>
      </c>
      <c r="J12" s="8">
        <f>J10*1.14</f>
        <v>1.919988</v>
      </c>
    </row>
    <row r="13" spans="1:10" x14ac:dyDescent="0.25">
      <c r="A13">
        <v>10</v>
      </c>
      <c r="B13" s="3">
        <v>6.55</v>
      </c>
      <c r="C13" s="3">
        <v>2.8</v>
      </c>
      <c r="D13">
        <v>2</v>
      </c>
      <c r="E13" s="3">
        <f t="shared" si="0"/>
        <v>18.34</v>
      </c>
      <c r="F13" s="3">
        <f t="shared" si="1"/>
        <v>16.34</v>
      </c>
    </row>
    <row r="14" spans="1:10" x14ac:dyDescent="0.25">
      <c r="A14">
        <v>11</v>
      </c>
      <c r="B14" s="3">
        <v>1.5</v>
      </c>
      <c r="C14" s="3">
        <v>2.8</v>
      </c>
      <c r="E14" s="3">
        <f t="shared" si="0"/>
        <v>4.1999999999999993</v>
      </c>
      <c r="F14" s="3">
        <f t="shared" si="1"/>
        <v>4.1999999999999993</v>
      </c>
      <c r="H14" t="s">
        <v>52</v>
      </c>
      <c r="I14" t="s">
        <v>27</v>
      </c>
      <c r="J14">
        <f>(J3+J7)*2*0.005</f>
        <v>2.5124</v>
      </c>
    </row>
    <row r="15" spans="1:10" x14ac:dyDescent="0.25">
      <c r="F15" s="4">
        <f>SUM(F4:F14)</f>
        <v>103.38000000000001</v>
      </c>
      <c r="H15" t="s">
        <v>48</v>
      </c>
      <c r="I15" t="s">
        <v>28</v>
      </c>
      <c r="J15" s="8">
        <f>J14*342.1</f>
        <v>859.49204000000009</v>
      </c>
    </row>
    <row r="16" spans="1:10" x14ac:dyDescent="0.25">
      <c r="H16" t="s">
        <v>43</v>
      </c>
      <c r="I16" t="s">
        <v>27</v>
      </c>
      <c r="J16" s="8">
        <f>J14*1.294</f>
        <v>3.2510455999999999</v>
      </c>
    </row>
    <row r="17" spans="1:10" x14ac:dyDescent="0.25">
      <c r="A17" s="12" t="s">
        <v>15</v>
      </c>
      <c r="B17" s="12"/>
      <c r="C17" s="12"/>
      <c r="D17" s="12"/>
      <c r="E17" s="12"/>
      <c r="F17" s="12"/>
    </row>
    <row r="18" spans="1:10" x14ac:dyDescent="0.25">
      <c r="A18" t="s">
        <v>8</v>
      </c>
      <c r="B18" t="s">
        <v>1</v>
      </c>
      <c r="C18" t="s">
        <v>9</v>
      </c>
      <c r="D18" t="s">
        <v>10</v>
      </c>
      <c r="E18" t="s">
        <v>12</v>
      </c>
      <c r="F18" t="s">
        <v>11</v>
      </c>
      <c r="H18" t="s">
        <v>53</v>
      </c>
      <c r="I18" t="s">
        <v>27</v>
      </c>
      <c r="J18">
        <f>(J3+J7)*2*0.02</f>
        <v>10.0496</v>
      </c>
    </row>
    <row r="19" spans="1:10" x14ac:dyDescent="0.25">
      <c r="A19">
        <v>12</v>
      </c>
      <c r="B19" s="3">
        <v>10</v>
      </c>
      <c r="C19" s="3">
        <v>2.4</v>
      </c>
      <c r="D19" s="3"/>
      <c r="E19" s="3">
        <f>B19*C19</f>
        <v>24</v>
      </c>
      <c r="F19" s="3">
        <f>E19-D19</f>
        <v>24</v>
      </c>
      <c r="H19" t="s">
        <v>49</v>
      </c>
      <c r="I19" t="s">
        <v>28</v>
      </c>
      <c r="J19">
        <f>J18*181.3</f>
        <v>1821.9924800000001</v>
      </c>
    </row>
    <row r="20" spans="1:10" x14ac:dyDescent="0.25">
      <c r="A20">
        <v>13</v>
      </c>
      <c r="B20" s="3">
        <v>1</v>
      </c>
      <c r="C20" s="3">
        <v>2.4</v>
      </c>
      <c r="E20" s="3">
        <f>B20*C20</f>
        <v>2.4</v>
      </c>
      <c r="F20" s="3">
        <f>E20-D20</f>
        <v>2.4</v>
      </c>
      <c r="H20" t="s">
        <v>50</v>
      </c>
      <c r="I20" t="s">
        <v>27</v>
      </c>
      <c r="J20">
        <f>J18*181.3</f>
        <v>1821.9924800000001</v>
      </c>
    </row>
    <row r="21" spans="1:10" x14ac:dyDescent="0.25">
      <c r="A21">
        <v>14</v>
      </c>
      <c r="B21" s="3">
        <v>5.55</v>
      </c>
      <c r="C21" s="3">
        <v>2.4</v>
      </c>
      <c r="D21" s="3"/>
      <c r="E21" s="3">
        <f t="shared" ref="E21:E24" si="2">B21*C21</f>
        <v>13.319999999999999</v>
      </c>
      <c r="F21" s="3">
        <f t="shared" ref="F21:F24" si="3">E21-D21</f>
        <v>13.319999999999999</v>
      </c>
      <c r="H21" t="s">
        <v>43</v>
      </c>
      <c r="I21" t="s">
        <v>27</v>
      </c>
      <c r="J21">
        <f>J18*1.496</f>
        <v>15.034201599999999</v>
      </c>
    </row>
    <row r="22" spans="1:10" x14ac:dyDescent="0.25">
      <c r="A22">
        <v>15</v>
      </c>
      <c r="B22" s="3">
        <v>5.55</v>
      </c>
      <c r="C22" s="3">
        <v>2.4</v>
      </c>
      <c r="D22" s="3"/>
      <c r="E22" s="3">
        <f t="shared" si="2"/>
        <v>13.319999999999999</v>
      </c>
      <c r="F22" s="3">
        <f t="shared" si="3"/>
        <v>13.319999999999999</v>
      </c>
    </row>
    <row r="23" spans="1:10" x14ac:dyDescent="0.25">
      <c r="A23">
        <v>16</v>
      </c>
      <c r="B23" s="3">
        <v>3.5</v>
      </c>
      <c r="C23" s="3">
        <v>2.4</v>
      </c>
      <c r="D23" s="3"/>
      <c r="E23" s="3">
        <f t="shared" si="2"/>
        <v>8.4</v>
      </c>
      <c r="F23" s="3">
        <f t="shared" si="3"/>
        <v>8.4</v>
      </c>
    </row>
    <row r="24" spans="1:10" x14ac:dyDescent="0.25">
      <c r="A24">
        <v>17</v>
      </c>
      <c r="B24" s="3">
        <v>1.5</v>
      </c>
      <c r="C24" s="3">
        <v>2.4</v>
      </c>
      <c r="E24" s="3">
        <f t="shared" si="2"/>
        <v>3.5999999999999996</v>
      </c>
      <c r="F24" s="3">
        <f t="shared" si="3"/>
        <v>3.5999999999999996</v>
      </c>
    </row>
    <row r="25" spans="1:10" x14ac:dyDescent="0.25">
      <c r="F25" s="4">
        <f>SUM(F19:F24)</f>
        <v>65.039999999999992</v>
      </c>
    </row>
    <row r="28" spans="1:10" x14ac:dyDescent="0.25">
      <c r="A28" s="12" t="s">
        <v>71</v>
      </c>
      <c r="B28" s="12"/>
      <c r="C28" s="12"/>
      <c r="D28" s="12"/>
      <c r="E28" s="12"/>
      <c r="F28" s="12"/>
      <c r="H28" t="s">
        <v>111</v>
      </c>
      <c r="I28" t="s">
        <v>112</v>
      </c>
      <c r="J28">
        <f>F35/110</f>
        <v>2.1429272727272721</v>
      </c>
    </row>
    <row r="29" spans="1:10" x14ac:dyDescent="0.25">
      <c r="A29" t="s">
        <v>8</v>
      </c>
      <c r="B29" t="s">
        <v>1</v>
      </c>
      <c r="C29" t="s">
        <v>9</v>
      </c>
      <c r="D29" t="s">
        <v>10</v>
      </c>
      <c r="E29" t="s">
        <v>12</v>
      </c>
      <c r="F29" t="s">
        <v>11</v>
      </c>
      <c r="H29" t="s">
        <v>119</v>
      </c>
      <c r="I29" t="s">
        <v>113</v>
      </c>
      <c r="J29">
        <f>F37/25</f>
        <v>4.0848000000000004</v>
      </c>
    </row>
    <row r="30" spans="1:10" x14ac:dyDescent="0.25">
      <c r="A30" t="s">
        <v>72</v>
      </c>
      <c r="B30" s="3">
        <v>18.010000000000002</v>
      </c>
      <c r="C30" s="3">
        <v>2.8</v>
      </c>
      <c r="D30" s="3">
        <f>(0.8*2.1)+(0.7*2.1)+(2.1*2)</f>
        <v>7.3500000000000005</v>
      </c>
      <c r="E30" s="3">
        <f>B30*C30</f>
        <v>50.428000000000004</v>
      </c>
      <c r="F30" s="3">
        <f>E30-D30</f>
        <v>43.078000000000003</v>
      </c>
      <c r="H30" t="s">
        <v>114</v>
      </c>
      <c r="I30" t="s">
        <v>115</v>
      </c>
      <c r="J30">
        <f>F44/14</f>
        <v>11.342857142857143</v>
      </c>
    </row>
    <row r="31" spans="1:10" x14ac:dyDescent="0.25">
      <c r="A31" t="s">
        <v>73</v>
      </c>
      <c r="B31" s="3">
        <v>17.7</v>
      </c>
      <c r="C31" s="3">
        <v>2.8</v>
      </c>
      <c r="D31" s="3">
        <f>2*2.1+2+0.8*2.1</f>
        <v>7.8800000000000008</v>
      </c>
      <c r="E31" s="3">
        <f t="shared" ref="E31:E34" si="4">B31*C31</f>
        <v>49.559999999999995</v>
      </c>
      <c r="F31" s="3">
        <f t="shared" ref="F31:F34" si="5">E31-D31</f>
        <v>41.679999999999993</v>
      </c>
      <c r="H31" t="s">
        <v>126</v>
      </c>
      <c r="I31" t="s">
        <v>125</v>
      </c>
      <c r="J31">
        <f>F48/7.5</f>
        <v>5.016</v>
      </c>
    </row>
    <row r="32" spans="1:10" x14ac:dyDescent="0.25">
      <c r="A32" t="s">
        <v>74</v>
      </c>
      <c r="B32" s="3">
        <v>11.29</v>
      </c>
      <c r="C32" s="3">
        <v>2.8</v>
      </c>
      <c r="D32" s="3">
        <f>2.1*0.8+2</f>
        <v>3.68</v>
      </c>
      <c r="E32" s="3">
        <f t="shared" si="4"/>
        <v>31.611999999999995</v>
      </c>
      <c r="F32" s="3">
        <f t="shared" si="5"/>
        <v>27.931999999999995</v>
      </c>
      <c r="H32" t="s">
        <v>128</v>
      </c>
      <c r="I32" t="s">
        <v>112</v>
      </c>
      <c r="J32">
        <f>(F35+F37+F44)/120</f>
        <v>4.1386833333333337</v>
      </c>
    </row>
    <row r="33" spans="1:10" x14ac:dyDescent="0.25">
      <c r="A33" t="s">
        <v>75</v>
      </c>
      <c r="B33" s="3">
        <f>(1.45+3.65)*5.4+3.5*2.8</f>
        <v>37.339999999999996</v>
      </c>
      <c r="C33" s="3">
        <v>2.8</v>
      </c>
      <c r="D33" s="3"/>
      <c r="E33" s="3">
        <f t="shared" si="4"/>
        <v>104.55199999999998</v>
      </c>
      <c r="F33" s="3">
        <f t="shared" si="5"/>
        <v>104.55199999999998</v>
      </c>
      <c r="H33" t="s">
        <v>129</v>
      </c>
      <c r="I33" t="s">
        <v>130</v>
      </c>
      <c r="J33">
        <f>(F35+F37)/50</f>
        <v>6.7568399999999995</v>
      </c>
    </row>
    <row r="34" spans="1:10" x14ac:dyDescent="0.25">
      <c r="A34" t="s">
        <v>131</v>
      </c>
      <c r="B34" s="3">
        <v>7.2</v>
      </c>
      <c r="C34" s="3">
        <v>2.8</v>
      </c>
      <c r="D34" s="3">
        <f>0.8*2.1</f>
        <v>1.6800000000000002</v>
      </c>
      <c r="E34" s="3">
        <f t="shared" si="4"/>
        <v>20.16</v>
      </c>
      <c r="F34" s="3">
        <f t="shared" si="5"/>
        <v>18.48</v>
      </c>
    </row>
    <row r="35" spans="1:10" x14ac:dyDescent="0.25">
      <c r="F35" s="4">
        <f>SUM(F30:F34)</f>
        <v>235.72199999999995</v>
      </c>
    </row>
    <row r="36" spans="1:10" x14ac:dyDescent="0.25">
      <c r="F36" s="4"/>
    </row>
    <row r="37" spans="1:10" x14ac:dyDescent="0.25">
      <c r="A37" t="s">
        <v>51</v>
      </c>
      <c r="B37" s="3"/>
      <c r="C37" s="3"/>
      <c r="D37" s="3"/>
      <c r="E37" s="3"/>
      <c r="F37" s="3">
        <f>17.46+7.53+22.31+19.57+31.18+4.07</f>
        <v>102.12</v>
      </c>
    </row>
    <row r="38" spans="1:10" x14ac:dyDescent="0.25">
      <c r="F38" s="4"/>
    </row>
    <row r="40" spans="1:10" x14ac:dyDescent="0.25">
      <c r="A40" s="12" t="s">
        <v>108</v>
      </c>
      <c r="B40" s="12"/>
      <c r="C40" s="12"/>
      <c r="D40" s="12"/>
      <c r="E40" s="12"/>
      <c r="F40" s="12"/>
    </row>
    <row r="41" spans="1:10" x14ac:dyDescent="0.25">
      <c r="A41" t="s">
        <v>8</v>
      </c>
      <c r="B41" t="s">
        <v>1</v>
      </c>
      <c r="C41" t="s">
        <v>9</v>
      </c>
      <c r="D41" t="s">
        <v>10</v>
      </c>
      <c r="E41" t="s">
        <v>12</v>
      </c>
      <c r="F41" t="s">
        <v>11</v>
      </c>
    </row>
    <row r="42" spans="1:10" x14ac:dyDescent="0.25">
      <c r="A42" t="s">
        <v>109</v>
      </c>
      <c r="B42" s="3">
        <f>25+0.2*4*3</f>
        <v>27.4</v>
      </c>
      <c r="C42" s="3">
        <v>5.4</v>
      </c>
      <c r="D42" s="3">
        <f>2*2.1*3+2*2+0.8*2.1*2</f>
        <v>19.96</v>
      </c>
      <c r="E42" s="3">
        <f>B42*C42</f>
        <v>147.96</v>
      </c>
      <c r="F42" s="3">
        <f>E42-D42</f>
        <v>128</v>
      </c>
    </row>
    <row r="43" spans="1:10" x14ac:dyDescent="0.25">
      <c r="A43" t="s">
        <v>110</v>
      </c>
      <c r="B43" s="3">
        <v>11</v>
      </c>
      <c r="C43" s="3">
        <v>2.8</v>
      </c>
      <c r="D43" s="3"/>
      <c r="E43" s="3">
        <f>B43*C43</f>
        <v>30.799999999999997</v>
      </c>
      <c r="F43" s="3">
        <f>E43-D43</f>
        <v>30.799999999999997</v>
      </c>
    </row>
    <row r="44" spans="1:10" x14ac:dyDescent="0.25">
      <c r="F44" s="4">
        <f>SUM(F42:F43)</f>
        <v>158.80000000000001</v>
      </c>
    </row>
    <row r="46" spans="1:10" x14ac:dyDescent="0.25">
      <c r="A46" s="12" t="s">
        <v>124</v>
      </c>
      <c r="B46" s="12"/>
      <c r="C46" s="12"/>
      <c r="D46" s="12"/>
      <c r="E46" s="12"/>
      <c r="F46" s="12"/>
    </row>
    <row r="47" spans="1:10" x14ac:dyDescent="0.25">
      <c r="A47" t="s">
        <v>8</v>
      </c>
      <c r="B47" t="s">
        <v>1</v>
      </c>
      <c r="C47" t="s">
        <v>9</v>
      </c>
      <c r="D47" t="s">
        <v>10</v>
      </c>
      <c r="E47" t="s">
        <v>12</v>
      </c>
      <c r="F47" t="s">
        <v>11</v>
      </c>
    </row>
    <row r="48" spans="1:10" x14ac:dyDescent="0.25">
      <c r="A48" t="s">
        <v>110</v>
      </c>
      <c r="B48" s="3"/>
      <c r="C48" s="3"/>
      <c r="D48" s="3"/>
      <c r="E48" s="3"/>
      <c r="F48" s="3">
        <f>11*2.8+6.82</f>
        <v>37.619999999999997</v>
      </c>
    </row>
    <row r="49" spans="1:6" x14ac:dyDescent="0.25">
      <c r="A49" t="s">
        <v>158</v>
      </c>
      <c r="B49" s="3"/>
      <c r="C49" s="3"/>
      <c r="D49" s="3"/>
      <c r="E49" s="3"/>
      <c r="F49" s="3">
        <f>8.08*2.5-0.8*2.1</f>
        <v>18.52</v>
      </c>
    </row>
    <row r="50" spans="1:6" x14ac:dyDescent="0.25">
      <c r="F50" s="4">
        <f>SUM(F48:F48)</f>
        <v>37.619999999999997</v>
      </c>
    </row>
  </sheetData>
  <mergeCells count="5">
    <mergeCell ref="A2:F2"/>
    <mergeCell ref="A17:F17"/>
    <mergeCell ref="A28:F28"/>
    <mergeCell ref="A40:F40"/>
    <mergeCell ref="A46:F46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topLeftCell="A7" workbookViewId="0">
      <selection activeCell="E38" sqref="E38"/>
    </sheetView>
  </sheetViews>
  <sheetFormatPr defaultRowHeight="15" x14ac:dyDescent="0.25"/>
  <cols>
    <col min="1" max="1" width="14" bestFit="1" customWidth="1"/>
    <col min="2" max="3" width="15.85546875" customWidth="1"/>
    <col min="4" max="4" width="16.5703125" bestFit="1" customWidth="1"/>
    <col min="5" max="5" width="12.5703125" customWidth="1"/>
    <col min="6" max="6" width="11.42578125" bestFit="1" customWidth="1"/>
    <col min="7" max="7" width="13.42578125" bestFit="1" customWidth="1"/>
    <col min="8" max="8" width="13.42578125" customWidth="1"/>
    <col min="9" max="9" width="16.5703125" bestFit="1" customWidth="1"/>
    <col min="11" max="11" width="11.42578125" bestFit="1" customWidth="1"/>
    <col min="12" max="12" width="13.42578125" bestFit="1" customWidth="1"/>
    <col min="13" max="13" width="13.42578125" customWidth="1"/>
    <col min="14" max="14" width="16.5703125" bestFit="1" customWidth="1"/>
  </cols>
  <sheetData>
    <row r="1" spans="1:14" ht="18.75" x14ac:dyDescent="0.3">
      <c r="A1" s="36" t="s">
        <v>163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8"/>
    </row>
    <row r="2" spans="1:14" x14ac:dyDescent="0.25">
      <c r="A2" s="29" t="s">
        <v>0</v>
      </c>
      <c r="B2" s="30"/>
      <c r="C2" s="30"/>
      <c r="D2" s="30"/>
      <c r="E2" s="15"/>
      <c r="F2" s="30" t="s">
        <v>160</v>
      </c>
      <c r="G2" s="30"/>
      <c r="H2" s="30"/>
      <c r="I2" s="30"/>
      <c r="J2" s="15"/>
      <c r="K2" s="30" t="s">
        <v>6</v>
      </c>
      <c r="L2" s="30"/>
      <c r="M2" s="30"/>
      <c r="N2" s="31"/>
    </row>
    <row r="3" spans="1:14" x14ac:dyDescent="0.25">
      <c r="A3" s="32" t="s">
        <v>3</v>
      </c>
      <c r="B3" s="33" t="s">
        <v>1</v>
      </c>
      <c r="C3" s="33" t="s">
        <v>159</v>
      </c>
      <c r="D3" s="33" t="s">
        <v>2</v>
      </c>
      <c r="E3" s="15"/>
      <c r="F3" s="33" t="s">
        <v>3</v>
      </c>
      <c r="G3" s="33" t="s">
        <v>1</v>
      </c>
      <c r="H3" s="33" t="s">
        <v>159</v>
      </c>
      <c r="I3" s="33" t="s">
        <v>2</v>
      </c>
      <c r="J3" s="15"/>
      <c r="K3" s="33" t="s">
        <v>3</v>
      </c>
      <c r="L3" s="33" t="s">
        <v>1</v>
      </c>
      <c r="M3" s="33" t="s">
        <v>159</v>
      </c>
      <c r="N3" s="34" t="s">
        <v>2</v>
      </c>
    </row>
    <row r="4" spans="1:14" x14ac:dyDescent="0.25">
      <c r="A4" s="14">
        <v>16</v>
      </c>
      <c r="B4" s="15">
        <v>4</v>
      </c>
      <c r="C4" s="15">
        <f>0.125*0.125*3.14</f>
        <v>4.9062500000000002E-2</v>
      </c>
      <c r="D4" s="15">
        <f>C4*B4*A4</f>
        <v>3.14</v>
      </c>
      <c r="E4" s="15"/>
      <c r="F4" s="15">
        <v>3</v>
      </c>
      <c r="G4" s="15">
        <v>5.4</v>
      </c>
      <c r="H4" s="15">
        <f>0.2*0.2</f>
        <v>4.0000000000000008E-2</v>
      </c>
      <c r="I4" s="15">
        <f>H4*G4*F4</f>
        <v>0.64800000000000013</v>
      </c>
      <c r="J4" s="15"/>
      <c r="K4" s="15"/>
      <c r="L4" s="15">
        <f>10.3*3+5.15+7.2+3.65+2.3*3</f>
        <v>53.800000000000004</v>
      </c>
      <c r="M4" s="15">
        <f>0.14*0.3</f>
        <v>4.2000000000000003E-2</v>
      </c>
      <c r="N4" s="16">
        <f>M4*L4</f>
        <v>2.2596000000000003</v>
      </c>
    </row>
    <row r="5" spans="1:14" x14ac:dyDescent="0.25">
      <c r="A5" s="14"/>
      <c r="B5" s="15"/>
      <c r="C5" s="15"/>
      <c r="D5" s="15"/>
      <c r="E5" s="15"/>
      <c r="F5" s="15">
        <v>7</v>
      </c>
      <c r="G5" s="15">
        <v>5.4</v>
      </c>
      <c r="H5" s="15">
        <f>0.14*0.3</f>
        <v>4.2000000000000003E-2</v>
      </c>
      <c r="I5" s="15">
        <f>H5*G5*F5</f>
        <v>1.5876000000000001</v>
      </c>
      <c r="J5" s="15"/>
      <c r="K5" s="15"/>
      <c r="L5" s="15"/>
      <c r="M5" s="15"/>
      <c r="N5" s="16"/>
    </row>
    <row r="6" spans="1:14" x14ac:dyDescent="0.25">
      <c r="A6" s="14"/>
      <c r="B6" s="15"/>
      <c r="C6" s="15"/>
      <c r="D6" s="15"/>
      <c r="E6" s="15"/>
      <c r="F6" s="15">
        <v>3</v>
      </c>
      <c r="G6" s="15">
        <v>5.4</v>
      </c>
      <c r="H6" s="15">
        <f>0.14*0.14</f>
        <v>1.9600000000000003E-2</v>
      </c>
      <c r="I6" s="15">
        <f>H6*G6*F6</f>
        <v>0.31752000000000002</v>
      </c>
      <c r="J6" s="15"/>
      <c r="K6" s="15"/>
      <c r="L6" s="15"/>
      <c r="M6" s="15"/>
      <c r="N6" s="16"/>
    </row>
    <row r="7" spans="1:14" x14ac:dyDescent="0.25">
      <c r="A7" s="29" t="s">
        <v>4</v>
      </c>
      <c r="B7" s="30"/>
      <c r="C7" s="30"/>
      <c r="D7" s="30"/>
      <c r="E7" s="15"/>
      <c r="F7" s="15"/>
      <c r="G7" s="15"/>
      <c r="H7" s="15"/>
      <c r="I7" s="35">
        <f>SUM(I4:I6)</f>
        <v>2.5531200000000003</v>
      </c>
      <c r="J7" s="15"/>
      <c r="K7" s="30" t="s">
        <v>7</v>
      </c>
      <c r="L7" s="30"/>
      <c r="M7" s="30"/>
      <c r="N7" s="31"/>
    </row>
    <row r="8" spans="1:14" x14ac:dyDescent="0.25">
      <c r="A8" s="32" t="s">
        <v>3</v>
      </c>
      <c r="B8" s="33" t="s">
        <v>9</v>
      </c>
      <c r="C8" s="33" t="s">
        <v>159</v>
      </c>
      <c r="D8" s="33" t="s">
        <v>2</v>
      </c>
      <c r="E8" s="15"/>
      <c r="F8" s="15"/>
      <c r="G8" s="15"/>
      <c r="H8" s="15"/>
      <c r="I8" s="15"/>
      <c r="J8" s="15"/>
      <c r="K8" s="33" t="s">
        <v>3</v>
      </c>
      <c r="L8" s="33" t="s">
        <v>1</v>
      </c>
      <c r="M8" s="33" t="s">
        <v>159</v>
      </c>
      <c r="N8" s="34" t="s">
        <v>2</v>
      </c>
    </row>
    <row r="9" spans="1:14" x14ac:dyDescent="0.25">
      <c r="A9" s="14">
        <v>10</v>
      </c>
      <c r="B9" s="15">
        <f>0.3</f>
        <v>0.3</v>
      </c>
      <c r="C9" s="15">
        <f>0.5*0.5</f>
        <v>0.25</v>
      </c>
      <c r="D9" s="15">
        <f>C9*B9*A9</f>
        <v>0.75</v>
      </c>
      <c r="E9" s="15"/>
      <c r="F9" s="30" t="s">
        <v>161</v>
      </c>
      <c r="G9" s="30"/>
      <c r="H9" s="30"/>
      <c r="I9" s="30"/>
      <c r="J9" s="15"/>
      <c r="K9" s="15"/>
      <c r="L9" s="15">
        <f>10.3*3+5.15+7.2+2.3</f>
        <v>45.550000000000004</v>
      </c>
      <c r="M9" s="15">
        <f>0.14*0.3</f>
        <v>4.2000000000000003E-2</v>
      </c>
      <c r="N9" s="16">
        <f>M9*L9</f>
        <v>1.9131000000000002</v>
      </c>
    </row>
    <row r="10" spans="1:14" x14ac:dyDescent="0.25">
      <c r="A10" s="14">
        <v>3</v>
      </c>
      <c r="B10" s="15">
        <v>0.3</v>
      </c>
      <c r="C10" s="15">
        <f>1.25*0.5</f>
        <v>0.625</v>
      </c>
      <c r="D10" s="15">
        <f>C10*B10*A10</f>
        <v>0.5625</v>
      </c>
      <c r="E10" s="15"/>
      <c r="F10" s="33" t="s">
        <v>3</v>
      </c>
      <c r="G10" s="33" t="s">
        <v>1</v>
      </c>
      <c r="H10" s="33" t="s">
        <v>162</v>
      </c>
      <c r="I10" s="33" t="s">
        <v>164</v>
      </c>
      <c r="J10" s="15"/>
      <c r="K10" s="15"/>
      <c r="L10" s="15"/>
      <c r="M10" s="15"/>
      <c r="N10" s="16"/>
    </row>
    <row r="11" spans="1:14" x14ac:dyDescent="0.25">
      <c r="A11" s="14"/>
      <c r="B11" s="15"/>
      <c r="C11" s="15"/>
      <c r="D11" s="35">
        <f>SUM(D9:D10)</f>
        <v>1.3125</v>
      </c>
      <c r="E11" s="15"/>
      <c r="F11" s="15">
        <v>3</v>
      </c>
      <c r="G11" s="15">
        <v>5.4</v>
      </c>
      <c r="H11" s="15">
        <f>0.2*4</f>
        <v>0.8</v>
      </c>
      <c r="I11" s="15">
        <f>H11*G11*F11</f>
        <v>12.96</v>
      </c>
      <c r="J11" s="15"/>
      <c r="K11" s="15"/>
      <c r="L11" s="15"/>
      <c r="M11" s="15"/>
      <c r="N11" s="16"/>
    </row>
    <row r="12" spans="1:14" x14ac:dyDescent="0.25">
      <c r="A12" s="14"/>
      <c r="B12" s="15"/>
      <c r="C12" s="15"/>
      <c r="D12" s="15"/>
      <c r="E12" s="15"/>
      <c r="F12" s="15">
        <v>7</v>
      </c>
      <c r="G12" s="15">
        <v>5.4</v>
      </c>
      <c r="H12" s="15">
        <f>0.14*2+0.3*2</f>
        <v>0.88</v>
      </c>
      <c r="I12" s="15">
        <f t="shared" ref="I12:I13" si="0">H12*G12*F12</f>
        <v>33.264000000000003</v>
      </c>
      <c r="J12" s="15"/>
      <c r="K12" s="15"/>
      <c r="L12" s="15"/>
      <c r="M12" s="15"/>
      <c r="N12" s="16"/>
    </row>
    <row r="13" spans="1:14" x14ac:dyDescent="0.25">
      <c r="A13" s="29" t="s">
        <v>5</v>
      </c>
      <c r="B13" s="30"/>
      <c r="C13" s="30"/>
      <c r="D13" s="30"/>
      <c r="E13" s="15"/>
      <c r="F13" s="15">
        <v>3</v>
      </c>
      <c r="G13" s="15">
        <v>5.4</v>
      </c>
      <c r="H13" s="15">
        <f>0.14*4</f>
        <v>0.56000000000000005</v>
      </c>
      <c r="I13" s="15">
        <f t="shared" si="0"/>
        <v>9.072000000000001</v>
      </c>
      <c r="J13" s="15"/>
      <c r="K13" s="15"/>
      <c r="L13" s="15"/>
      <c r="M13" s="15"/>
      <c r="N13" s="16"/>
    </row>
    <row r="14" spans="1:14" x14ac:dyDescent="0.25">
      <c r="A14" s="32" t="s">
        <v>3</v>
      </c>
      <c r="B14" s="33" t="s">
        <v>1</v>
      </c>
      <c r="C14" s="33" t="s">
        <v>159</v>
      </c>
      <c r="D14" s="33" t="s">
        <v>2</v>
      </c>
      <c r="E14" s="15"/>
      <c r="F14" s="15"/>
      <c r="G14" s="15"/>
      <c r="H14" s="15"/>
      <c r="I14" s="35">
        <f>SUM(I11:I13)</f>
        <v>55.296000000000006</v>
      </c>
      <c r="J14" s="15"/>
      <c r="K14" s="15"/>
      <c r="L14" s="15"/>
      <c r="M14" s="15"/>
      <c r="N14" s="16"/>
    </row>
    <row r="15" spans="1:14" x14ac:dyDescent="0.25">
      <c r="A15" s="17"/>
      <c r="B15" s="18">
        <f>10.3*2+5.15+7.2+2.3*2+3.65</f>
        <v>41.2</v>
      </c>
      <c r="C15" s="18">
        <f>0.14*0.3</f>
        <v>4.2000000000000003E-2</v>
      </c>
      <c r="D15" s="18">
        <f>C15*B15</f>
        <v>1.7304000000000002</v>
      </c>
      <c r="E15" s="18"/>
      <c r="F15" s="18"/>
      <c r="G15" s="18"/>
      <c r="H15" s="18"/>
      <c r="I15" s="18"/>
      <c r="J15" s="18"/>
      <c r="K15" s="18"/>
      <c r="L15" s="18"/>
      <c r="M15" s="18"/>
      <c r="N15" s="19"/>
    </row>
    <row r="17" spans="1:5" x14ac:dyDescent="0.25">
      <c r="A17" s="26"/>
      <c r="B17" s="27"/>
      <c r="C17" s="28"/>
    </row>
    <row r="18" spans="1:5" x14ac:dyDescent="0.25">
      <c r="A18" s="14" t="s">
        <v>181</v>
      </c>
      <c r="B18" s="15" t="s">
        <v>27</v>
      </c>
      <c r="C18" s="16">
        <f>D4+D11+D15+I7+N4+N9</f>
        <v>12.908720000000002</v>
      </c>
    </row>
    <row r="19" spans="1:5" x14ac:dyDescent="0.25">
      <c r="A19" s="14" t="s">
        <v>19</v>
      </c>
      <c r="B19" s="15" t="s">
        <v>28</v>
      </c>
      <c r="C19" s="16">
        <f>C18*344</f>
        <v>4440.5996800000012</v>
      </c>
    </row>
    <row r="20" spans="1:5" x14ac:dyDescent="0.25">
      <c r="A20" s="14" t="s">
        <v>180</v>
      </c>
      <c r="B20" s="15" t="s">
        <v>27</v>
      </c>
      <c r="C20" s="16">
        <f>0.622*C18</f>
        <v>8.029223840000002</v>
      </c>
    </row>
    <row r="21" spans="1:5" x14ac:dyDescent="0.25">
      <c r="A21" s="17" t="s">
        <v>69</v>
      </c>
      <c r="B21" s="18" t="s">
        <v>27</v>
      </c>
      <c r="C21" s="19">
        <f>0.728*C18</f>
        <v>9.3975481600000013</v>
      </c>
    </row>
    <row r="25" spans="1:5" ht="18.75" x14ac:dyDescent="0.3">
      <c r="A25" s="25" t="s">
        <v>172</v>
      </c>
      <c r="B25" s="25"/>
      <c r="C25" s="25"/>
      <c r="D25" s="25"/>
      <c r="E25" s="25"/>
    </row>
    <row r="26" spans="1:5" x14ac:dyDescent="0.25">
      <c r="B26" t="s">
        <v>3</v>
      </c>
      <c r="C26" t="s">
        <v>168</v>
      </c>
      <c r="D26" t="s">
        <v>166</v>
      </c>
      <c r="E26" t="s">
        <v>167</v>
      </c>
    </row>
    <row r="27" spans="1:5" x14ac:dyDescent="0.25">
      <c r="A27" t="s">
        <v>165</v>
      </c>
      <c r="B27">
        <v>16</v>
      </c>
      <c r="C27">
        <f>2*3.14*0.125*10*16</f>
        <v>125.60000000000001</v>
      </c>
      <c r="E27">
        <f>4*2.5*B27</f>
        <v>160</v>
      </c>
    </row>
    <row r="28" spans="1:5" x14ac:dyDescent="0.25">
      <c r="A28" t="s">
        <v>177</v>
      </c>
      <c r="D28">
        <f>((0.2*2+0.44*2+0.1)*3*10)</f>
        <v>41.400000000000006</v>
      </c>
      <c r="E28">
        <f>((0.44*4+0.1)*3*10)</f>
        <v>55.8</v>
      </c>
    </row>
    <row r="29" spans="1:5" x14ac:dyDescent="0.25">
      <c r="A29" t="s">
        <v>178</v>
      </c>
      <c r="D29">
        <f>((0.2*2+0.44*2+0.1)*7*10)</f>
        <v>96.6</v>
      </c>
      <c r="E29">
        <f>(0.44*2+1.19*2+0.1)*3*3</f>
        <v>30.240000000000002</v>
      </c>
    </row>
    <row r="30" spans="1:5" x14ac:dyDescent="0.25">
      <c r="A30" t="s">
        <v>169</v>
      </c>
      <c r="B30">
        <v>3</v>
      </c>
      <c r="C30">
        <f>(0.17*4+0.05)*27*B30</f>
        <v>59.13</v>
      </c>
      <c r="E30">
        <f>4*G4*B30</f>
        <v>64.800000000000011</v>
      </c>
    </row>
    <row r="31" spans="1:5" x14ac:dyDescent="0.25">
      <c r="A31" t="s">
        <v>170</v>
      </c>
      <c r="B31">
        <v>7</v>
      </c>
      <c r="C31">
        <f>(0.27*2+0.11*2+0.05)*27*B31</f>
        <v>153.09</v>
      </c>
      <c r="D31">
        <f>4*B31*G5</f>
        <v>151.20000000000002</v>
      </c>
    </row>
    <row r="32" spans="1:5" x14ac:dyDescent="0.25">
      <c r="A32" t="s">
        <v>176</v>
      </c>
      <c r="B32">
        <v>3</v>
      </c>
      <c r="C32">
        <f>(0.11*4+0.05)*27*B32</f>
        <v>39.69</v>
      </c>
      <c r="D32">
        <f>4*F6*G6</f>
        <v>64.800000000000011</v>
      </c>
    </row>
    <row r="33" spans="1:5" x14ac:dyDescent="0.25">
      <c r="A33" t="s">
        <v>171</v>
      </c>
      <c r="D33">
        <f>2*B15</f>
        <v>82.4</v>
      </c>
      <c r="E33">
        <f>3*B15</f>
        <v>123.60000000000001</v>
      </c>
    </row>
    <row r="34" spans="1:5" x14ac:dyDescent="0.25">
      <c r="A34" t="s">
        <v>6</v>
      </c>
      <c r="D34">
        <f>L4*2</f>
        <v>107.60000000000001</v>
      </c>
      <c r="E34">
        <f>L4*3</f>
        <v>161.4</v>
      </c>
    </row>
    <row r="35" spans="1:5" x14ac:dyDescent="0.25">
      <c r="A35" t="s">
        <v>7</v>
      </c>
      <c r="D35">
        <f>L9*2</f>
        <v>91.100000000000009</v>
      </c>
      <c r="E35">
        <f>L9*3</f>
        <v>136.65</v>
      </c>
    </row>
    <row r="36" spans="1:5" x14ac:dyDescent="0.25">
      <c r="B36" s="10" t="s">
        <v>174</v>
      </c>
      <c r="C36" s="10">
        <f>SUM(C27:C35)</f>
        <v>377.51000000000005</v>
      </c>
      <c r="D36" s="10">
        <f>SUM(D27:D35)</f>
        <v>635.10000000000014</v>
      </c>
      <c r="E36" s="10">
        <f>SUM(E27:E35)</f>
        <v>732.49</v>
      </c>
    </row>
    <row r="37" spans="1:5" x14ac:dyDescent="0.25">
      <c r="B37" s="10" t="s">
        <v>175</v>
      </c>
      <c r="C37">
        <f>C36*0.154</f>
        <v>58.136540000000004</v>
      </c>
      <c r="D37">
        <f>D36*0.395</f>
        <v>250.86450000000008</v>
      </c>
      <c r="E37">
        <f>E36*0.617</f>
        <v>451.94632999999999</v>
      </c>
    </row>
  </sheetData>
  <mergeCells count="9">
    <mergeCell ref="A1:N1"/>
    <mergeCell ref="A25:E25"/>
    <mergeCell ref="K2:N2"/>
    <mergeCell ref="K7:N7"/>
    <mergeCell ref="A2:D2"/>
    <mergeCell ref="A7:D7"/>
    <mergeCell ref="A13:D13"/>
    <mergeCell ref="F2:I2"/>
    <mergeCell ref="F9:I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Resumo 2</vt:lpstr>
      <vt:lpstr>Resumo 1</vt:lpstr>
      <vt:lpstr>Resumo detalhado</vt:lpstr>
      <vt:lpstr> Cobertura</vt:lpstr>
      <vt:lpstr>Piso</vt:lpstr>
      <vt:lpstr>Alvenaria</vt:lpstr>
      <vt:lpstr>Estrutural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Domingues Gonçalves</dc:creator>
  <cp:lastModifiedBy>Rafael Domingues Gonçalves</cp:lastModifiedBy>
  <dcterms:created xsi:type="dcterms:W3CDTF">2017-07-21T00:02:15Z</dcterms:created>
  <dcterms:modified xsi:type="dcterms:W3CDTF">2017-07-23T23:39:48Z</dcterms:modified>
</cp:coreProperties>
</file>